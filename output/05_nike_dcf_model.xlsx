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Historicals" sheetId="3" state="visible" r:id="rId5"/>
    <sheet name="Sources" sheetId="4" state="visible" r:id="rId6"/>
    <sheet name="WACC" sheetId="5" state="visible" r:id="rId7"/>
    <sheet name="Forecast" sheetId="6" state="visible" r:id="rId8"/>
    <sheet name="Valuation" sheetId="7" state="visible" r:id="rId9"/>
  </sheets>
  <definedNames>
    <definedName function="false" hidden="false" name="After_Tax_Cost_Of_Debt" vbProcedure="false">WACC!$B$13</definedName>
    <definedName function="false" hidden="false" name="Base_FY" vbProcedure="false">Assumptions!$B$7</definedName>
    <definedName function="false" hidden="false" name="Capex_Pct" vbProcedure="false">Assumptions!$B$22</definedName>
    <definedName function="false" hidden="false" name="Cash" vbProcedure="false">Assumptions!$B$34</definedName>
    <definedName function="false" hidden="false" name="Cost_Of_Equity" vbProcedure="false">WACC!$B$9</definedName>
    <definedName function="false" hidden="false" name="DA_Pct" vbProcedure="false">Assumptions!$B$21</definedName>
    <definedName function="false" hidden="false" name="Debt_LT_Current" vbProcedure="false">Assumptions!$B$37</definedName>
    <definedName function="false" hidden="false" name="Debt_LT_Noncurrent" vbProcedure="false">Assumptions!$B$36</definedName>
    <definedName function="false" hidden="false" name="Debt_Short_Term" vbProcedure="false">Assumptions!$B$38</definedName>
    <definedName function="false" hidden="false" name="Debt_Spread" vbProcedure="false">Assumptions!$B$31</definedName>
    <definedName function="false" hidden="false" name="Enterprise_Value" vbProcedure="false">Valuation!$B$21</definedName>
    <definedName function="false" hidden="false" name="Equity_Value" vbProcedure="false">Valuation!$B$24</definedName>
    <definedName function="false" hidden="false" name="ERP" vbProcedure="false">Assumptions!$B$30</definedName>
    <definedName function="false" hidden="false" name="FCFF_FY2032" vbProcedure="false">Valuation!$B$18</definedName>
    <definedName function="false" hidden="false" name="FY2027_Margin" vbProcedure="false">Assumptions!$B$17</definedName>
    <definedName function="false" hidden="false" name="Growth_Adjustment" vbProcedure="false">Assumptions!$B$15</definedName>
    <definedName function="false" hidden="false" name="Growth_FY2027" vbProcedure="false">Assumptions!$B$10</definedName>
    <definedName function="false" hidden="false" name="Growth_FY2028" vbProcedure="false">Assumptions!$B$11</definedName>
    <definedName function="false" hidden="false" name="Growth_FY2029" vbProcedure="false">Assumptions!$B$12</definedName>
    <definedName function="false" hidden="false" name="Growth_FY2030" vbProcedure="false">Assumptions!$B$13</definedName>
    <definedName function="false" hidden="false" name="Growth_FY2031" vbProcedure="false">Assumptions!$B$14</definedName>
    <definedName function="false" hidden="false" name="Market_Cap" vbProcedure="false">WACC!$B$16</definedName>
    <definedName function="false" hidden="false" name="Nike_Beta" vbProcedure="false">Assumptions!$B$29</definedName>
    <definedName function="false" hidden="false" name="NWC_Pct" vbProcedure="false">Assumptions!$B$23</definedName>
    <definedName function="false" hidden="false" name="Pretax_Cost_Of_Debt" vbProcedure="false">WACC!$B$12</definedName>
    <definedName function="false" hidden="false" name="PV_Terminal_Value" vbProcedure="false">Valuation!$B$20</definedName>
    <definedName function="false" hidden="false" name="Revenue_FY2032" vbProcedure="false">Valuation!$B$17</definedName>
    <definedName function="false" hidden="false" name="Risk_Free" vbProcedure="false">Assumptions!$B$28</definedName>
    <definedName function="false" hidden="false" name="Sens_Growth_Step" vbProcedure="false">Assumptions!$B$42</definedName>
    <definedName function="false" hidden="false" name="Sens_WACC_Step" vbProcedure="false">Assumptions!$B$41</definedName>
    <definedName function="false" hidden="false" name="Shares" vbProcedure="false">Assumptions!$B$39</definedName>
    <definedName function="false" hidden="false" name="Share_Of_FY2027_Remaining" vbProcedure="false">Assumptions!$B$8</definedName>
    <definedName function="false" hidden="false" name="Share_Price" vbProcedure="false">Assumptions!$B$27</definedName>
    <definedName function="false" hidden="false" name="ST_Investments" vbProcedure="false">Assumptions!$B$35</definedName>
    <definedName function="false" hidden="false" name="Sum_PV_FCFF" vbProcedure="false">Valuation!$B$14</definedName>
    <definedName function="false" hidden="false" name="Target_Margin" vbProcedure="false">Assumptions!$B$18</definedName>
    <definedName function="false" hidden="false" name="Tax_On_Interest" vbProcedure="false">Assumptions!$B$32</definedName>
    <definedName function="false" hidden="false" name="Tax_Rate" vbProcedure="false">Assumptions!$B$20</definedName>
    <definedName function="false" hidden="false" name="Terminal_Growth" vbProcedure="false">Assumptions!$B$25</definedName>
    <definedName function="false" hidden="false" name="Terminal_Value" vbProcedure="false">Valuation!$B$19</definedName>
    <definedName function="false" hidden="false" name="Total_Debt" vbProcedure="false">WACC!$B$17</definedName>
    <definedName function="false" hidden="false" name="Upside" vbProcedure="false">Valuation!$B$28</definedName>
    <definedName function="false" hidden="false" name="Valuation_Date" vbProcedure="false">Assumptions!$B$6</definedName>
    <definedName function="false" hidden="false" name="Value_Per_Share" vbProcedure="false">Valuation!$B$26</definedName>
    <definedName function="false" hidden="false" name="WACC" vbProcedure="false">WACC!$B$21</definedName>
    <definedName function="false" hidden="false" name="Weight_Debt" vbProcedure="false">WACC!$B$19</definedName>
    <definedName function="false" hidden="false" name="Weight_Equity" vbProcedure="false">WACC!$B$18</definedName>
    <definedName function="false" hidden="false" name="Years_To_Target" vbProcedure="false">Assumptions!$B$19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<sst xmlns="http://schemas.openxmlformats.org/spreadsheetml/2006/main" count="1918" uniqueCount="396">
  <si>
    <t xml:space="preserve">Nike (NKE) 5-year DCF model</t>
  </si>
  <si>
    <t xml:space="preserve">Built 2026-10-04 by scripts/05_excel_dcf_model.py. Valuation date 2026-10-02. All money in USD millions unless labelled. Fiscal year ends May 31.</t>
  </si>
  <si>
    <t xml:space="preserve">How the tabs connect (money flows left to right)</t>
  </si>
  <si>
    <t xml:space="preserve">1. Assumptions: every input. Change a yellow cell and everything else updates.</t>
  </si>
  <si>
    <t xml:space="preserve">2. Historicals: Nike's FY2017-FY2026 10-K figures and ratios. Use its averages to judge the assumptions.</t>
  </si>
  <si>
    <t xml:space="preserve">3. Sources: the SEC filing (accession number) behind each historical figure.</t>
  </si>
  <si>
    <t xml:space="preserve">4. WACC: builds the discount rate from the market inputs on Assumptions.</t>
  </si>
  <si>
    <t xml:space="preserve">5. Forecast: starts from FY2026 actual revenue (Historicals), sets FY2027 from Nike's guidance (revenue -8%, margin 5.55%), and applies the Assumptions to get FY2027-FY2031 free cash flow (FCFF).</t>
  </si>
  <si>
    <t xml:space="preserve">6. Valuation: discounts the Forecast's FCFF at the WACC, adds a terminal value for the years after FY2031, adds cash, subtracts debt, divides by shares, and compares with the share price.</t>
  </si>
  <si>
    <t xml:space="preserve">Colour code</t>
  </si>
  <si>
    <t xml:space="preserve">Blue on yellow = an input you can change (Assumptions tab).</t>
  </si>
  <si>
    <t xml:space="preserve">Blue = a historical number typed in from SEC filings.</t>
  </si>
  <si>
    <t xml:space="preserve">Black = a formula on the same tab.</t>
  </si>
  <si>
    <t xml:space="preserve">Green = a formula that uses a number from another tab.</t>
  </si>
  <si>
    <t xml:space="preserve">Formulas use names for inputs (e.g. =Revenue*(1+Growth_FY2027), =1/(1+WACC)^years). Formulas &gt; Name Manager lists every name and the cell it points to.</t>
  </si>
  <si>
    <t xml:space="preserve">Weak spots</t>
  </si>
  <si>
    <t xml:space="preserve">Equity risk premium 4.09% is Damodaran's 1 September 2026 figure, verified against his data file (data/raw/damodaran/). It was 4.23% at the start of 2026.</t>
  </si>
  <si>
    <t xml:space="preserve">Shares are the quarter's diluted weighted average, not the exact count on 2026-08-31.</t>
  </si>
  <si>
    <t xml:space="preserve">Leases are left out of debt and of operating income consistently (lease cost sits inside S&amp;A).</t>
  </si>
  <si>
    <t xml:space="preserve">The terminal value builds FY2032 as a normal year growing 2.5% (working capital grows with that 2.5%), so FY2031's own growth-driven working-capital spending is not repeated forever.</t>
  </si>
  <si>
    <t xml:space="preserve">Assumptions: every input to the model lives on this tab</t>
  </si>
  <si>
    <t xml:space="preserve">Blue numbers on a yellow background are inputs: change them here and the whole model updates. Official copy: scripts/assumptions.py (re-run scripts/05_excel_dcf_model.py to rebuild).</t>
  </si>
  <si>
    <t xml:space="preserve">Input</t>
  </si>
  <si>
    <t xml:space="preserve">Value</t>
  </si>
  <si>
    <t xml:space="preserve">Unit</t>
  </si>
  <si>
    <t xml:space="preserve">Source</t>
  </si>
  <si>
    <t xml:space="preserve">Date set</t>
  </si>
  <si>
    <t xml:space="preserve">Name used in formulas</t>
  </si>
  <si>
    <t xml:space="preserve">1. Valuation setup</t>
  </si>
  <si>
    <t xml:space="preserve">Valuation date (share price date)</t>
  </si>
  <si>
    <t xml:space="preserve">date</t>
  </si>
  <si>
    <t xml:space="preserve">judgment: last trading day before this model was built (2026-10-04 was a Sunday)</t>
  </si>
  <si>
    <t xml:space="preserve">2026-10-04</t>
  </si>
  <si>
    <t xml:space="preserve">Valuation_Date</t>
  </si>
  <si>
    <t xml:space="preserve">Base year (last actual fiscal year)</t>
  </si>
  <si>
    <t xml:space="preserve">fiscal year</t>
  </si>
  <si>
    <t xml:space="preserve">latest full fiscal year in the 10-K (FY2026 ended 2026-05-31)</t>
  </si>
  <si>
    <t xml:space="preserve">Base_FY</t>
  </si>
  <si>
    <t xml:space="preserve">Share of FY2027 cash flow still to come</t>
  </si>
  <si>
    <t xml:space="preserve">fraction of FY2027 cash flow still to come</t>
  </si>
  <si>
    <t xml:space="preserve">Q1 FY2027 (Jun-Aug 2026) is already over and its cash is in the 2026-08-31 balance sheet, so only 9 of 12 months count</t>
  </si>
  <si>
    <t xml:space="preserve">Share_Of_FY2027_Remaining</t>
  </si>
  <si>
    <t xml:space="preserve">2. Revenue growth by year (forecast)</t>
  </si>
  <si>
    <t xml:space="preserve">Revenue growth FY2027</t>
  </si>
  <si>
    <t xml:space="preserve">fraction per year, by fiscal year</t>
  </si>
  <si>
    <t xml:space="preserve">FY2027 = midpoint of Nike's guidance, revenue to 'decline high-single digits' (read as -7% to -9%; Q1 FY2027 earnings release, 8-K 0000320187-26-000184, Ex. 99.1, 2026-10-01; see GUIDANCE_FY2027). History: +1% until 2026-10-04 22:35, then -1.09% (Q1 actual + Q2-Q4 flat) until 2026-10-04 23:00. FY2028-31: judgment, a gradual return toward, but below, Nike's FY2016-FY2024 compound annual growth of 5.9% (output/06a_nike_history_fy1993_fy2026.csv)</t>
  </si>
  <si>
    <t xml:space="preserve">Growth_FY2027</t>
  </si>
  <si>
    <t xml:space="preserve">Revenue growth FY2028</t>
  </si>
  <si>
    <t xml:space="preserve">Growth_FY2028</t>
  </si>
  <si>
    <t xml:space="preserve">Revenue growth FY2029</t>
  </si>
  <si>
    <t xml:space="preserve">Growth_FY2029</t>
  </si>
  <si>
    <t xml:space="preserve">Revenue growth FY2030</t>
  </si>
  <si>
    <t xml:space="preserve">Growth_FY2030</t>
  </si>
  <si>
    <t xml:space="preserve">Revenue growth FY2031</t>
  </si>
  <si>
    <t xml:space="preserve">Growth_FY2031</t>
  </si>
  <si>
    <t xml:space="preserve">Growth adjustment added to FY2028-31 (scenario testing, 0 = base case; FY2027 stays at guidance)</t>
  </si>
  <si>
    <t xml:space="preserve">fraction per year, added to every forecast year's growth</t>
  </si>
  <si>
    <t xml:space="preserve">setting for scenario testing (e.g. Excel Goal Seek to find the growth that matches the share price); 0 = base case</t>
  </si>
  <si>
    <t xml:space="preserve">Growth_Adjustment</t>
  </si>
  <si>
    <t xml:space="preserve">3. Margins, tax and reinvestment (forecast)</t>
  </si>
  <si>
    <t xml:space="preserve">FY2027 operating margin (from Nike's guidance)</t>
  </si>
  <si>
    <t xml:space="preserve">fraction of revenue (adjusted: before Pace restructuring charges)</t>
  </si>
  <si>
    <t xml:space="preserve">derived from Nike's FY2027 guidance (GUIDANCE_FY2027, midpoints): adjusted EPS 1.25 x 1,484.2m diluted shares / (1 - 25% tax) - 103m non-operating income = USD 2,371m operating income, / (46,398m x (1 - 8%)) revenue = 5.55%. Script 10 repeats the steps and checks this value (output/10_guidance_margin.csv). Set 2026-10-04 at Eric's request to build the guidance into the base case; before that FY2027 sat on the straight line from FY2026's 8.2% (9.1%)</t>
  </si>
  <si>
    <t xml:space="preserve">FY2027_Margin</t>
  </si>
  <si>
    <t xml:space="preserve">Target operating margin</t>
  </si>
  <si>
    <t xml:space="preserve">fraction of revenue (12.5%)</t>
  </si>
  <si>
    <t xml:space="preserve">judgment: Nike's FY2017-FY2024 operating margin, simple average of the 8 years = 12.5% (output/02_historical_metrics.csv), i.e. a full recovery to pre-FY2025 levels</t>
  </si>
  <si>
    <t xml:space="preserve">Target_Margin</t>
  </si>
  <si>
    <t xml:space="preserve">Years after FY2026 to reach the target margin (straight line from FY2027's guidance margin)</t>
  </si>
  <si>
    <t xml:space="preserve">years after FY2026 (FY2027 is the guidance margin; from there a straight line to target by FY2031)</t>
  </si>
  <si>
    <t xml:space="preserve">judgment</t>
  </si>
  <si>
    <t xml:space="preserve">Years_To_Target</t>
  </si>
  <si>
    <t xml:space="preserve">Tax rate on operating income</t>
  </si>
  <si>
    <t xml:space="preserve">fraction of operating income</t>
  </si>
  <si>
    <t xml:space="preserve">judgment: about Nike's FY2023-FY2026 average effective rate (17.6%, output/02_historical_metrics.csv)</t>
  </si>
  <si>
    <t xml:space="preserve">Tax_Rate</t>
  </si>
  <si>
    <t xml:space="preserve">Depreciation &amp; amortization, % of revenue</t>
  </si>
  <si>
    <t xml:space="preserve">fraction of revenue</t>
  </si>
  <si>
    <t xml:space="preserve">Nike FY2017-FY2026 average depreciation &amp; amortization / revenue = 1.72% (10-K cash flow statements)</t>
  </si>
  <si>
    <t xml:space="preserve">DA_Pct</t>
  </si>
  <si>
    <t xml:space="preserve">Capital expenditures, % of revenue</t>
  </si>
  <si>
    <t xml:space="preserve">judgment: Nike FY2017-FY2026 average capex / revenue = 2.09%; FY2025-26 (0.9%, 1.5%) look cut back during the downturn, so we assume a return toward the average, a bit above D&amp;A so the asset base grows</t>
  </si>
  <si>
    <t xml:space="preserve">Capex_Pct</t>
  </si>
  <si>
    <t xml:space="preserve">Operating working capital, % of revenue</t>
  </si>
  <si>
    <t xml:space="preserve">Nike FY2017-FY2026 average operating working capital / revenue = 11.4% (10-K balance sheets). Operating working capital = receivables + inventories + prepaid &amp; other current assets - accounts payable - accrued liabilities. FY2026 was 12.7%, so FY2027 releases some cash</t>
  </si>
  <si>
    <t xml:space="preserve">NWC_Pct</t>
  </si>
  <si>
    <t xml:space="preserve">4. Terminal value</t>
  </si>
  <si>
    <t xml:space="preserve">Cash flow growth forever after FY2031</t>
  </si>
  <si>
    <t xml:space="preserve">fraction per year, forever after FY2031</t>
  </si>
  <si>
    <t xml:space="preserve">judgment: roughly long-run inflation plus a little real growth; kept below the risk-free rate</t>
  </si>
  <si>
    <t xml:space="preserve">Terminal_Growth</t>
  </si>
  <si>
    <t xml:space="preserve">5. Market inputs for the discount rate (NOT from the SEC)</t>
  </si>
  <si>
    <t xml:space="preserve">Share price (USD)</t>
  </si>
  <si>
    <t xml:space="preserve">USD per share</t>
  </si>
  <si>
    <t xml:space="preserve">Yahoo Finance NKE close on 2026-10-02 (03_market_inputs.py); NON-SEC</t>
  </si>
  <si>
    <t xml:space="preserve">Share_Price</t>
  </si>
  <si>
    <t xml:space="preserve">Risk-free rate (10-year US Treasury yield)</t>
  </si>
  <si>
    <t xml:space="preserve">fraction per year (5.277%)</t>
  </si>
  <si>
    <t xml:space="preserve">10-year US Treasury yield, Yahoo ^TNX close on 2026-10-02 (03_market_inputs.py); NON-SEC</t>
  </si>
  <si>
    <t xml:space="preserve">Risk_Free</t>
  </si>
  <si>
    <t xml:space="preserve">Beta (how much Nike's stock moves with the market)</t>
  </si>
  <si>
    <t xml:space="preserve">multiple of market moves</t>
  </si>
  <si>
    <t xml:space="preserve">regression of 60 monthly Nike returns on S&amp;P 500 returns, Oct-2021 to Sep-2026 (03_market_inputs.py, output/03_beta_summary.csv)</t>
  </si>
  <si>
    <t xml:space="preserve">Nike_Beta</t>
  </si>
  <si>
    <t xml:space="preserve">Equity risk premium</t>
  </si>
  <si>
    <t xml:space="preserve">fraction per year (4.09%)</t>
  </si>
  <si>
    <t xml:space="preserve">Damodaran implied US equity risk premium on 2026-09-01, 'ERP (T12m)' series, his latest monthly figure before the 2026-10-02 valuation date. Verified in his ERPbymonth.xlsx, saved in data/raw/damodaran/ (downloaded 2026-10-04). Changed from 4.23% (his 2026-01-01 figure) on 2026-10-04 so the premium is as current as the share price and risk-free rate. NON-SEC</t>
  </si>
  <si>
    <t xml:space="preserve">ERP</t>
  </si>
  <si>
    <t xml:space="preserve">Nike's borrowing spread over the risk-free rate</t>
  </si>
  <si>
    <t xml:space="preserve">fraction per year over the risk-free rate (0.8%)</t>
  </si>
  <si>
    <t xml:space="preserve">judgment: typical spread for a high-grade (A/AA) US corporate borrower like Nike</t>
  </si>
  <si>
    <t xml:space="preserve">Debt_Spread</t>
  </si>
  <si>
    <t xml:space="preserve">Tax rate saved on interest</t>
  </si>
  <si>
    <t xml:space="preserve">fraction</t>
  </si>
  <si>
    <t xml:space="preserve">US federal statutory corporate tax rate (interest is deducted mostly in the US)</t>
  </si>
  <si>
    <t xml:space="preserve">Tax_On_Interest</t>
  </si>
  <si>
    <t xml:space="preserve">6. Latest balance sheet and shares (SEC Q1 FY2027 10-Q, 2026-08-31)</t>
  </si>
  <si>
    <t xml:space="preserve">Cash and equivalents (USD m)</t>
  </si>
  <si>
    <t xml:space="preserve">USD millions</t>
  </si>
  <si>
    <t xml:space="preserve">SEC 10-Q for the quarter ended 2026-08-31, accession 0000320187-26-000193, filed 2026-10-02, XBRL tag CashAndCashEquivalentsAtCarryingValue</t>
  </si>
  <si>
    <t xml:space="preserve">Cash</t>
  </si>
  <si>
    <t xml:space="preserve">Short-term investments (USD m)</t>
  </si>
  <si>
    <t xml:space="preserve">SEC 10-Q for the quarter ended 2026-08-31, accession 0000320187-26-000193, filed 2026-10-02, XBRL tag DebtSecuritiesAvailableForSaleExcludingAccruedInterestCurrent</t>
  </si>
  <si>
    <t xml:space="preserve">ST_Investments</t>
  </si>
  <si>
    <t xml:space="preserve">Long-term debt, non-current (USD m)</t>
  </si>
  <si>
    <t xml:space="preserve">SEC 10-Q for the quarter ended 2026-08-31, accession 0000320187-26-000193, filed 2026-10-02, XBRL tag LongTermDebtNoncurrent</t>
  </si>
  <si>
    <t xml:space="preserve">Debt_LT_Noncurrent</t>
  </si>
  <si>
    <t xml:space="preserve">Current portion of long-term debt (USD m)</t>
  </si>
  <si>
    <t xml:space="preserve">SEC 10-Q for the quarter ended 2026-08-31, accession 0000320187-26-000193, filed 2026-10-02, XBRL tag LongTermDebtCurrent</t>
  </si>
  <si>
    <t xml:space="preserve">Debt_LT_Current</t>
  </si>
  <si>
    <t xml:space="preserve">Notes payable / short-term borrowings (USD m)</t>
  </si>
  <si>
    <t xml:space="preserve">no value at 2026-08-31; treated as 0 (XBRL tag ShortTermBorrowings)</t>
  </si>
  <si>
    <t xml:space="preserve">Debt_Short_Term</t>
  </si>
  <si>
    <t xml:space="preserve">Diluted shares (weighted average for the quarter)</t>
  </si>
  <si>
    <t xml:space="preserve">millions</t>
  </si>
  <si>
    <t xml:space="preserve">SEC 10-Q for the quarter ended 2026-08-31, accession 0000320187-26-000193, filed 2026-10-02, XBRL tag WeightedAverageNumberOfDilutedSharesOutstanding. Weighted average, not the exact 2026-08-31 count, which the SEC data file lacks</t>
  </si>
  <si>
    <t xml:space="preserve">Shares</t>
  </si>
  <si>
    <t xml:space="preserve">7. Presentation only</t>
  </si>
  <si>
    <t xml:space="preserve">Sensitivity table: WACC step</t>
  </si>
  <si>
    <t xml:space="preserve">fraction (0.5 percentage points between columns of the sensitivity table)</t>
  </si>
  <si>
    <t xml:space="preserve">judgment (presentation only)</t>
  </si>
  <si>
    <t xml:space="preserve">Sens_WACC_Step</t>
  </si>
  <si>
    <t xml:space="preserve">Sensitivity table: terminal growth step</t>
  </si>
  <si>
    <t xml:space="preserve">fraction (0.5 percentage points between rows of the sensitivity table)</t>
  </si>
  <si>
    <t xml:space="preserve">Sens_Growth_Step</t>
  </si>
  <si>
    <t xml:space="preserve">Historicals: Nike FY2017-FY2026 (USD millions; fiscal year ends May 31)</t>
  </si>
  <si>
    <t xml:space="preserve">Blue = number from Nike's 10-K (filing details on the Sources tab). Black = formula. Columns L and M average the ratios so you can compare them with the Assumptions tab.</t>
  </si>
  <si>
    <t xml:space="preserve">Line item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</si>
  <si>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</si>
  <si>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</si>
  <si>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</si>
  <si>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</si>
  <si>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</si>
  <si>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</si>
  <si>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</si>
  <si>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</si>
  <si>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</si>
  <si>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</si>
  <si>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Avg FY2017-26</t>
  </si>
  <si>
    <t xml:space="preserve">Avg FY2022-26</t>
  </si>
  <si>
    <t xml:space="preserve">How it is calculated</t>
  </si>
  <si>
    <t xml:space="preserve">Income statement</t>
  </si>
  <si>
    <t xml:space="preserve">Revenue</t>
  </si>
  <si>
    <t xml:space="preserve">SEC 10-K</t>
  </si>
  <si>
    <t xml:space="preserve">Gross profit</t>
  </si>
  <si>
    <t xml:space="preserve">Selling &amp; administrative expense</t>
  </si>
  <si>
    <t xml:space="preserve">Operating income</t>
  </si>
  <si>
    <t xml:space="preserve">Gross profit - S&amp;A (Nike reports no operating income line)</t>
  </si>
  <si>
    <t xml:space="preserve">Income before income taxes</t>
  </si>
  <si>
    <t xml:space="preserve">Income tax expense</t>
  </si>
  <si>
    <t xml:space="preserve">Net income</t>
  </si>
  <si>
    <t xml:space="preserve">Cash flow statement</t>
  </si>
  <si>
    <t xml:space="preserve">Operating cash flow</t>
  </si>
  <si>
    <t xml:space="preserve">Depreciation &amp; amortization</t>
  </si>
  <si>
    <t xml:space="preserve">Capital expenditures</t>
  </si>
  <si>
    <t xml:space="preserve">Free cash flow (simple)</t>
  </si>
  <si>
    <t xml:space="preserve">Operating cash flow - capex (project definition)</t>
  </si>
  <si>
    <t xml:space="preserve">Balance sheet (at May 31)</t>
  </si>
  <si>
    <t xml:space="preserve">Cash and equivalents</t>
  </si>
  <si>
    <t xml:space="preserve">Short-term investments</t>
  </si>
  <si>
    <t xml:space="preserve">Accounts receivable, net</t>
  </si>
  <si>
    <t xml:space="preserve">Inventories</t>
  </si>
  <si>
    <t xml:space="preserve">Prepaid expenses and other current assets</t>
  </si>
  <si>
    <t xml:space="preserve">Accounts payable</t>
  </si>
  <si>
    <t xml:space="preserve">Accrued liabilities</t>
  </si>
  <si>
    <t xml:space="preserve">Long-term debt, non-current</t>
  </si>
  <si>
    <t xml:space="preserve">Current portion of long-term debt</t>
  </si>
  <si>
    <t xml:space="preserve">Notes payable / short-term borrowings</t>
  </si>
  <si>
    <t xml:space="preserve">SEC 10-K (FY2026 not tagged; counted as 0)</t>
  </si>
  <si>
    <t xml:space="preserve">Shareholders' equity</t>
  </si>
  <si>
    <t xml:space="preserve">Operating working capital</t>
  </si>
  <si>
    <t xml:space="preserve">Receivables + inventories + prepaid - payables - accrued liabilities</t>
  </si>
  <si>
    <t xml:space="preserve">Total debt (excl. leases)</t>
  </si>
  <si>
    <t xml:space="preserve">Sum of the three debt lines</t>
  </si>
  <si>
    <t xml:space="preserve">Ratios (all formulas)</t>
  </si>
  <si>
    <t xml:space="preserve">Revenue growth</t>
  </si>
  <si>
    <t xml:space="preserve">Revenue / last year's revenue - 1</t>
  </si>
  <si>
    <t xml:space="preserve">Gross margin</t>
  </si>
  <si>
    <t xml:space="preserve">Gross profit / revenue</t>
  </si>
  <si>
    <t xml:space="preserve">Operating margin</t>
  </si>
  <si>
    <t xml:space="preserve">Operating income / revenue</t>
  </si>
  <si>
    <t xml:space="preserve">Effective tax rate</t>
  </si>
  <si>
    <t xml:space="preserve">Income tax / pretax income (FY2018 includes the one-off US tax reform charge)</t>
  </si>
  <si>
    <t xml:space="preserve">D&amp;A, % of revenue</t>
  </si>
  <si>
    <t xml:space="preserve">D&amp;A / revenue</t>
  </si>
  <si>
    <t xml:space="preserve">Capex, % of revenue</t>
  </si>
  <si>
    <t xml:space="preserve">Capex / revenue</t>
  </si>
  <si>
    <t xml:space="preserve">Operating working capital / revenue</t>
  </si>
  <si>
    <t xml:space="preserve">Free cash flow margin</t>
  </si>
  <si>
    <t xml:space="preserve">FCF / revenue</t>
  </si>
  <si>
    <t xml:space="preserve">Revenue growth per year, compounded FY2017-FY2024 (before the downturn)</t>
  </si>
  <si>
    <t xml:space="preserve">(FY2024 revenue / FY2017 revenue) ^ (1/7) - 1</t>
  </si>
  <si>
    <t xml:space="preserve">Sources: the SEC filing behind every historical number</t>
  </si>
  <si>
    <t xml:space="preserve">Rule: for each fiscal year, the value from the most recently filed 10-K (picks up restatements). Look up a filing on EDGAR by its accession number.</t>
  </si>
  <si>
    <t xml:space="preserve">Item</t>
  </si>
  <si>
    <t xml:space="preserve">Fiscal year</t>
  </si>
  <si>
    <t xml:space="preserve">Value (USD m)</t>
  </si>
  <si>
    <t xml:space="preserve">XBRL tag</t>
  </si>
  <si>
    <t xml:space="preserve">Form</t>
  </si>
  <si>
    <t xml:space="preserve">Accession number</t>
  </si>
  <si>
    <t xml:space="preserve">Filed</t>
  </si>
  <si>
    <t xml:space="preserve">Period end</t>
  </si>
  <si>
    <t xml:space="preserve">RevenueFromContractWithCustomerExcludingAssessedTax</t>
  </si>
  <si>
    <t xml:space="preserve">10-K</t>
  </si>
  <si>
    <t xml:space="preserve">0000320187-19-000051</t>
  </si>
  <si>
    <t xml:space="preserve">2019-07-23</t>
  </si>
  <si>
    <t xml:space="preserve">2017-05-31</t>
  </si>
  <si>
    <t xml:space="preserve">0000320187-20-000047</t>
  </si>
  <si>
    <t xml:space="preserve">2020-07-24</t>
  </si>
  <si>
    <t xml:space="preserve">2018-05-31</t>
  </si>
  <si>
    <t xml:space="preserve">0000320187-21-000028</t>
  </si>
  <si>
    <t xml:space="preserve">2021-07-20</t>
  </si>
  <si>
    <t xml:space="preserve">2019-05-31</t>
  </si>
  <si>
    <t xml:space="preserve">0000320187-22-000038</t>
  </si>
  <si>
    <t xml:space="preserve">2022-07-21</t>
  </si>
  <si>
    <t xml:space="preserve">2020-05-31</t>
  </si>
  <si>
    <t xml:space="preserve">0000320187-23-000039</t>
  </si>
  <si>
    <t xml:space="preserve">2023-07-20</t>
  </si>
  <si>
    <t xml:space="preserve">2021-05-31</t>
  </si>
  <si>
    <t xml:space="preserve">0000320187-24-000044</t>
  </si>
  <si>
    <t xml:space="preserve">2024-07-25</t>
  </si>
  <si>
    <t xml:space="preserve">2022-05-31</t>
  </si>
  <si>
    <t xml:space="preserve">0000320187-25-000047</t>
  </si>
  <si>
    <t xml:space="preserve">2025-07-17</t>
  </si>
  <si>
    <t xml:space="preserve">2023-05-31</t>
  </si>
  <si>
    <t xml:space="preserve">0000320187-26-000088</t>
  </si>
  <si>
    <t xml:space="preserve">2026-07-15</t>
  </si>
  <si>
    <t xml:space="preserve">2024-05-31</t>
  </si>
  <si>
    <t xml:space="preserve">2025-05-31</t>
  </si>
  <si>
    <t xml:space="preserve">2026-05-31</t>
  </si>
  <si>
    <t xml:space="preserve">GrossProfit</t>
  </si>
  <si>
    <t xml:space="preserve">SellingGeneralAndAdministrativeExpense</t>
  </si>
  <si>
    <t xml:space="preserve">IncomeLossFromContinuingOperationsBeforeIncomeTaxesMinorityInterestAndIncomeLossFromEquityMethodInvestments</t>
  </si>
  <si>
    <t xml:space="preserve">IncomeLossFromContinuingOperationsBeforeIncomeTaxesExtraordinaryItemsNoncontrollingInterest</t>
  </si>
  <si>
    <t xml:space="preserve">NetIncomeLoss</t>
  </si>
  <si>
    <t xml:space="preserve">Depreciation</t>
  </si>
  <si>
    <t xml:space="preserve">DepreciationDepletionAndAmortization</t>
  </si>
  <si>
    <t xml:space="preserve">PaymentsToAcquirePropertyPlantAndEquipment</t>
  </si>
  <si>
    <t xml:space="preserve">NetCashProvidedByUsedInOperatingActivities</t>
  </si>
  <si>
    <t xml:space="preserve">LongTermDebtNoncurrent</t>
  </si>
  <si>
    <t xml:space="preserve">0000320187-18-000142</t>
  </si>
  <si>
    <t xml:space="preserve">2018-07-25</t>
  </si>
  <si>
    <t xml:space="preserve">LongTermDebtCurrent</t>
  </si>
  <si>
    <t xml:space="preserve">ShortTermBorrowings</t>
  </si>
  <si>
    <t xml:space="preserve">CashAndCashEquivalentsAtCarryingValue</t>
  </si>
  <si>
    <t xml:space="preserve">AvailableForSaleSecuritiesCurrent</t>
  </si>
  <si>
    <t xml:space="preserve">AvailableForSaleSecuritiesDebtSecuritiesCurrent</t>
  </si>
  <si>
    <t xml:space="preserve">DebtSecuritiesAvailableForSaleExcludingAccruedInterestCurrent</t>
  </si>
  <si>
    <t xml:space="preserve">StockholdersEquity</t>
  </si>
  <si>
    <t xml:space="preserve">IncomeTaxExpenseBenefit</t>
  </si>
  <si>
    <t xml:space="preserve">AccountsReceivableNetCurrent</t>
  </si>
  <si>
    <t xml:space="preserve">InventoryFinishedGoodsNetOfReserves</t>
  </si>
  <si>
    <t xml:space="preserve">PrepaidExpenseAndOtherAssetsCurrent</t>
  </si>
  <si>
    <t xml:space="preserve">AccountsPayableCurrent</t>
  </si>
  <si>
    <t xml:space="preserve">AccruedLiabilitiesCurrent</t>
  </si>
  <si>
    <t xml:space="preserve">WACC: the yearly return Nike's investors require (the discount rate)</t>
  </si>
  <si>
    <t xml:space="preserve">Green = pulled from the Assumptions tab. Black = calculated here.</t>
  </si>
  <si>
    <t xml:space="preserve">Step</t>
  </si>
  <si>
    <t xml:space="preserve">Formula in words</t>
  </si>
  <si>
    <t xml:space="preserve">Cost of equity (what shareholders expect)</t>
  </si>
  <si>
    <t xml:space="preserve">Risk-free rate</t>
  </si>
  <si>
    <t xml:space="preserve">From Assumptions</t>
  </si>
  <si>
    <t xml:space="preserve">Beta</t>
  </si>
  <si>
    <t xml:space="preserve">Cost of equity</t>
  </si>
  <si>
    <t xml:space="preserve">Risk-free rate + beta x equity risk premium (CAPM)</t>
  </si>
  <si>
    <t xml:space="preserve">Cost of debt (what lenders charge, after the tax saving)</t>
  </si>
  <si>
    <t xml:space="preserve">Pre-tax cost of debt</t>
  </si>
  <si>
    <t xml:space="preserve">Risk-free rate + Nike's borrowing spread</t>
  </si>
  <si>
    <t xml:space="preserve">After-tax cost of debt</t>
  </si>
  <si>
    <t xml:space="preserve">Interest is tax-deductible, so the real cost is lower: pre-tax cost x (1 - tax rate)</t>
  </si>
  <si>
    <t xml:space="preserve">Weights (market values today)</t>
  </si>
  <si>
    <t xml:space="preserve">Market value of equity (USD m)</t>
  </si>
  <si>
    <t xml:space="preserve">Share price x diluted shares</t>
  </si>
  <si>
    <t xml:space="preserve">Debt, excl. leases (USD m)</t>
  </si>
  <si>
    <t xml:space="preserve">Book value of debt from the 10-Q (used as a stand-in for its market value)</t>
  </si>
  <si>
    <t xml:space="preserve">Weight of equity</t>
  </si>
  <si>
    <t xml:space="preserve">Equity / (equity + debt)</t>
  </si>
  <si>
    <t xml:space="preserve">Weight of debt</t>
  </si>
  <si>
    <t xml:space="preserve">Debt / (equity + debt)</t>
  </si>
  <si>
    <t xml:space="preserve">WACC</t>
  </si>
  <si>
    <t xml:space="preserve">Weight of equity x cost of equity + weight of debt x after-tax cost of debt</t>
  </si>
  <si>
    <t xml:space="preserve">Forecast: FY2027-FY2031 (USD millions), from revenue down to free cash flow</t>
  </si>
  <si>
    <t xml:space="preserve">Column B is FY2026 actual (green, from Historicals) run through the same formulas. Columns C-G are the forecast, driven only by the Assumptions tab.</t>
  </si>
  <si>
    <t xml:space="preserve">Line</t>
  </si>
  <si>
    <t xml:space="preserve">FY2026 actual</t>
  </si>
  <si>
    <t xml:space="preserve">FY2027 forecast</t>
  </si>
  <si>
    <t xml:space="preserve">FY2028 forecast</t>
  </si>
  <si>
    <t xml:space="preserve">FY2029 forecast</t>
  </si>
  <si>
    <t xml:space="preserve">FY2030 forecast</t>
  </si>
  <si>
    <t xml:space="preserve">FY2031 forecast</t>
  </si>
  <si>
    <t xml:space="preserve">Year number (t)</t>
  </si>
  <si>
    <t xml:space="preserve">0 = FY2026, the last actual year</t>
  </si>
  <si>
    <t xml:space="preserve">Growth input for that year + the scenario adjustment (Assumptions); FY2027 is Nike's guidance, no adjustment</t>
  </si>
  <si>
    <t xml:space="preserve">Last year's revenue x (1 + growth)</t>
  </si>
  <si>
    <t xml:space="preserve">FY2027 = guidance margin; then a straight line to the target, reached in FY2031, then stays at the target</t>
  </si>
  <si>
    <t xml:space="preserve">Revenue x operating margin</t>
  </si>
  <si>
    <t xml:space="preserve">Taxes on operating income</t>
  </si>
  <si>
    <t xml:space="preserve">Operating income x tax rate (taxes as if Nike had no debt)</t>
  </si>
  <si>
    <t xml:space="preserve">NOPAT (after-tax operating income)</t>
  </si>
  <si>
    <t xml:space="preserve">Operating income - taxes</t>
  </si>
  <si>
    <t xml:space="preserve">Plus: depreciation &amp; amortization</t>
  </si>
  <si>
    <t xml:space="preserve">Revenue x D&amp;A % (added back: it is an expense but not a cash payment)</t>
  </si>
  <si>
    <t xml:space="preserve">Less: capital expenditures</t>
  </si>
  <si>
    <t xml:space="preserve">Revenue x capex % (cash spent on stores, offices, equipment, software)</t>
  </si>
  <si>
    <t xml:space="preserve">Operating working capital (balance at year end)</t>
  </si>
  <si>
    <t xml:space="preserve">Revenue x working capital % (inventory + receivables etc. - payables)</t>
  </si>
  <si>
    <t xml:space="preserve">Less: increase in working capital</t>
  </si>
  <si>
    <t xml:space="preserve">This year's working capital - last year's (a decrease frees up cash)</t>
  </si>
  <si>
    <t xml:space="preserve">Free cash flow to the firm (FCFF)</t>
  </si>
  <si>
    <t xml:space="preserve">NOPAT + D&amp;A - capex - increase in working capital: cash available to all investors</t>
  </si>
  <si>
    <t xml:space="preserve">Checks and comparisons</t>
  </si>
  <si>
    <t xml:space="preserve">FCFF margin</t>
  </si>
  <si>
    <t xml:space="preserve">FCFF / revenue</t>
  </si>
  <si>
    <t xml:space="preserve">Net reinvestment</t>
  </si>
  <si>
    <t xml:space="preserve">Capex - D&amp;A + increase in working capital (the reverse DCF used change in revenue / 3.2 instead)</t>
  </si>
  <si>
    <t xml:space="preserve">Simple FCF reported in FY2026 (operating cash flow - capex)</t>
  </si>
  <si>
    <t xml:space="preserve">For comparison with column B's FCFF. They differ because FCFF uses a normalized 18% tax on operating income and excludes interest and other income.</t>
  </si>
  <si>
    <t xml:space="preserve">Valuation: from forecast cash flows to value per share</t>
  </si>
  <si>
    <t xml:space="preserve">Each year's cash flow is worth less the further away it is: divide it by (1 + WACC) once per year between the valuation date and the end of that fiscal year.</t>
  </si>
  <si>
    <t xml:space="preserve">Part 1: present value of FY2027-FY2031 cash flows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</si>
  <si>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</si>
  <si>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</si>
  <si>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</si>
  <si>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</si>
  <si>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</si>
  <si>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Fiscal year end</t>
  </si>
  <si>
    <t xml:space="preserve">Nike's fiscal year ends May 31</t>
  </si>
  <si>
    <t xml:space="preserve">Years from valuation date</t>
  </si>
  <si>
    <t xml:space="preserve">(Year-end date - valuation date) / 365.25 days</t>
  </si>
  <si>
    <t xml:space="preserve">Share of the year's cash flow counted</t>
  </si>
  <si>
    <t xml:space="preserve">FY2027: only Sep-May are still to come (Jun-Aug cash is already in the 10-Q balance sheet)</t>
  </si>
  <si>
    <t xml:space="preserve">FCFF (from Forecast)</t>
  </si>
  <si>
    <t xml:space="preserve">Forecast tab, FCFF row</t>
  </si>
  <si>
    <t xml:space="preserve">FCFF counted</t>
  </si>
  <si>
    <t xml:space="preserve">FCFF x share counted</t>
  </si>
  <si>
    <t xml:space="preserve">Discount factor</t>
  </si>
  <si>
    <t xml:space="preserve">1 / (1 + WACC) ^ years</t>
  </si>
  <si>
    <t xml:space="preserve">Present value of FCFF</t>
  </si>
  <si>
    <t xml:space="preserve">FCFF counted x discount factor</t>
  </si>
  <si>
    <t xml:space="preserve">Part 2: from enterprise value to value per share</t>
  </si>
  <si>
    <t xml:space="preserve">Sum of present values, FY2027-FY2031 (USD m)</t>
  </si>
  <si>
    <t xml:space="preserve">Add up Part 1's last row</t>
  </si>
  <si>
    <t xml:space="preserve">From the WACC tab</t>
  </si>
  <si>
    <t xml:space="preserve">Terminal growth</t>
  </si>
  <si>
    <t xml:space="preserve">FY2032 revenue (USD m)</t>
  </si>
  <si>
    <t xml:space="preserve">FY2031 revenue x (1 + terminal growth)</t>
  </si>
  <si>
    <t xml:space="preserve">FY2032 FCFF (first year after the forecast) (USD m)</t>
  </si>
  <si>
    <t xml:space="preserve">FY2032 revenue x (FY2031 margin x (1 - tax) + D&amp;A % - capex %) - working capital % x revenue increase: a steady year growing at the terminal rate</t>
  </si>
  <si>
    <t xml:space="preserve">Terminal value at end of FY2031 (USD m)</t>
  </si>
  <si>
    <t xml:space="preserve">FY2032 FCFF / (WACC - terminal growth): value of all cash flows after FY2031 (growing-perpetuity formula)</t>
  </si>
  <si>
    <t xml:space="preserve">Present value of terminal value (USD m)</t>
  </si>
  <si>
    <t xml:space="preserve">Terminal value x FY2031 discount factor</t>
  </si>
  <si>
    <t xml:space="preserve">Enterprise value (USD m)</t>
  </si>
  <si>
    <t xml:space="preserve">Value of the business to all investors (debt + equity)</t>
  </si>
  <si>
    <t xml:space="preserve">Plus: cash and short-term investments (USD m)</t>
  </si>
  <si>
    <t xml:space="preserve">From Assumptions (10-Q, 2026-08-31)</t>
  </si>
  <si>
    <t xml:space="preserve">Less: debt, excl. leases (USD m)</t>
  </si>
  <si>
    <t xml:space="preserve">Equity value (USD m)</t>
  </si>
  <si>
    <t xml:space="preserve">Enterprise value + cash - debt: what belongs to shareholders</t>
  </si>
  <si>
    <t xml:space="preserve">Diluted shares (millions)</t>
  </si>
  <si>
    <t xml:space="preserve">Value per share (USD)</t>
  </si>
  <si>
    <t xml:space="preserve">Equity value / shares</t>
  </si>
  <si>
    <t xml:space="preserve">Share price on valuation date (USD)</t>
  </si>
  <si>
    <t xml:space="preserve">Value vs price</t>
  </si>
  <si>
    <t xml:space="preserve">Positive = the model says the shares are worth more than the price</t>
  </si>
  <si>
    <t xml:space="preserve">Terminal value as % of enterprise value</t>
  </si>
  <si>
    <t xml:space="preserve">How much of the value comes from after FY2031 (high = more depends on the long run)</t>
  </si>
  <si>
    <t xml:space="preserve">Implied EV / FY2026 operating income</t>
  </si>
  <si>
    <t xml:space="preserve">A sanity check multiple</t>
  </si>
  <si>
    <t xml:space="preserve">Part 3: value per share (USD) for other discount rates and terminal growth rates</t>
  </si>
  <si>
    <t xml:space="preserve">Terminal growth (down) / WACC (across)</t>
  </si>
  <si>
    <t xml:space="preserve">The centre cell equals the value per share above. Each cell repeats Part 1 and Part 2 with that row's growth and that column's WACC.</t>
  </si>
  <si>
    <t xml:space="preserve">Part 4: comparison with the reverse DCF (output/04_reverse_dcf_results.md)</t>
  </si>
  <si>
    <t xml:space="preserve">The reverse DCFs (scripts 04 and 06) run this same model backwards: they fix the value at the share price and solve for the growth and margin it implies (output/06_implied_growth_and_margin_results.md).</t>
  </si>
  <si>
    <t xml:space="preserve">To do the same here, use Excel's Goal Seek: Data &gt; What-If Analysis &gt; Goal Seek, set cell 'Value_Per_Share' to the share price by changing 'Growth_Adjustment' on Assumptions.</t>
  </si>
  <si>
    <t xml:space="preserve">Python copy of this model: scripts/dcf_model.py. Script 06 checks the two give the same value to the cent.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</si>
</sst>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0"/>
    <numFmt numFmtId="167" formatCode="0%"/>
    <numFmt numFmtId="168" formatCode="0.0%;\(0.0%\);\-"/>
    <numFmt numFmtId="169" formatCode="0.00%;\(0.00%\);\-"/>
    <numFmt numFmtId="170" formatCode="\$#,##0.00"/>
    <numFmt numFmtId="171" formatCode="0.000"/>
    <numFmt numFmtId="172" formatCode="#,##0;\(#,##0\);\-"/>
    <numFmt numFmtId="173" formatCode="#,##0.0"/>
    <numFmt numFmtId="174" formatCode="0.0000"/>
    <numFmt numFmtId="175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7A33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4EE"/>
        <bgColor rgb="FFE2F0D9"/>
      </patternFill>
    </fill>
    <fill>
      <patternFill patternType="solid">
        <fgColor rgb="FFFFF7D6"/>
        <bgColor rgb="FFFFFFFF"/>
      </patternFill>
    </fill>
    <fill>
      <patternFill patternType="solid">
        <fgColor rgb="FFE2F0D9"/>
        <bgColor rgb="FFDDE4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5" t="s">
        <v>13</v>
      </c>
    </row>
    <row r="18" customFormat="false" ht="15" hidden="false" customHeight="false" outlineLevel="0" collapsed="false">
      <c r="A18" s="0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0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90"/>
    <col collapsed="false" customWidth="true" hidden="false" outlineLevel="0" max="5" min="5" style="0" width="11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0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</row>
    <row r="5" customFormat="false" ht="15" hidden="false" customHeight="false" outlineLevel="0" collapsed="false">
      <c r="A5" s="2" t="s">
        <v>28</v>
      </c>
      <c r="C5" s="7"/>
      <c r="D5" s="7"/>
    </row>
    <row r="6" customFormat="false" ht="15" hidden="false" customHeight="false" outlineLevel="0" collapsed="false">
      <c r="A6" s="0" t="s">
        <v>29</v>
      </c>
      <c r="B6" s="8" t="n">
        <v>46297</v>
      </c>
      <c r="C6" s="7" t="s">
        <v>30</v>
      </c>
      <c r="D6" s="7" t="s">
        <v>31</v>
      </c>
      <c r="E6" s="9" t="s">
        <v>32</v>
      </c>
      <c r="F6" s="9" t="s">
        <v>33</v>
      </c>
    </row>
    <row r="7" customFormat="false" ht="15" hidden="false" customHeight="false" outlineLevel="0" collapsed="false">
      <c r="A7" s="0" t="s">
        <v>34</v>
      </c>
      <c r="B7" s="10" t="n">
        <v>2026</v>
      </c>
      <c r="C7" s="7" t="s">
        <v>35</v>
      </c>
      <c r="D7" s="7" t="s">
        <v>36</v>
      </c>
      <c r="E7" s="9" t="s">
        <v>32</v>
      </c>
      <c r="F7" s="9" t="s">
        <v>37</v>
      </c>
    </row>
    <row r="8" customFormat="false" ht="28.35" hidden="false" customHeight="false" outlineLevel="0" collapsed="false">
      <c r="A8" s="0" t="s">
        <v>38</v>
      </c>
      <c r="B8" s="11" t="n">
        <v>0.75</v>
      </c>
      <c r="C8" s="7" t="s">
        <v>39</v>
      </c>
      <c r="D8" s="7" t="s">
        <v>40</v>
      </c>
      <c r="E8" s="9" t="s">
        <v>32</v>
      </c>
      <c r="F8" s="9" t="s">
        <v>41</v>
      </c>
    </row>
    <row r="9" customFormat="false" ht="15" hidden="false" customHeight="false" outlineLevel="0" collapsed="false">
      <c r="A9" s="2" t="s">
        <v>42</v>
      </c>
      <c r="C9" s="7"/>
      <c r="D9" s="7"/>
    </row>
    <row r="10" customFormat="false" ht="68.65" hidden="false" customHeight="false" outlineLevel="0" collapsed="false">
      <c r="A10" s="0" t="s">
        <v>43</v>
      </c>
      <c r="B10" s="12" t="n">
        <v>-0.08</v>
      </c>
      <c r="C10" s="7" t="s">
        <v>44</v>
      </c>
      <c r="D10" s="7" t="s">
        <v>45</v>
      </c>
      <c r="E10" s="9" t="s">
        <v>32</v>
      </c>
      <c r="F10" s="9" t="s">
        <v>46</v>
      </c>
    </row>
    <row r="11" customFormat="false" ht="68.65" hidden="false" customHeight="false" outlineLevel="0" collapsed="false">
      <c r="A11" s="0" t="s">
        <v>47</v>
      </c>
      <c r="B11" s="12" t="n">
        <v>0.03</v>
      </c>
      <c r="C11" s="7" t="s">
        <v>44</v>
      </c>
      <c r="D11" s="7" t="s">
        <v>45</v>
      </c>
      <c r="E11" s="9" t="s">
        <v>32</v>
      </c>
      <c r="F11" s="9" t="s">
        <v>48</v>
      </c>
    </row>
    <row r="12" customFormat="false" ht="68.65" hidden="false" customHeight="false" outlineLevel="0" collapsed="false">
      <c r="A12" s="0" t="s">
        <v>49</v>
      </c>
      <c r="B12" s="12" t="n">
        <v>0.04</v>
      </c>
      <c r="C12" s="7" t="s">
        <v>44</v>
      </c>
      <c r="D12" s="7" t="s">
        <v>45</v>
      </c>
      <c r="E12" s="9" t="s">
        <v>32</v>
      </c>
      <c r="F12" s="9" t="s">
        <v>50</v>
      </c>
    </row>
    <row r="13" customFormat="false" ht="68.65" hidden="false" customHeight="false" outlineLevel="0" collapsed="false">
      <c r="A13" s="0" t="s">
        <v>51</v>
      </c>
      <c r="B13" s="12" t="n">
        <v>0.04</v>
      </c>
      <c r="C13" s="7" t="s">
        <v>44</v>
      </c>
      <c r="D13" s="7" t="s">
        <v>45</v>
      </c>
      <c r="E13" s="9" t="s">
        <v>32</v>
      </c>
      <c r="F13" s="9" t="s">
        <v>52</v>
      </c>
    </row>
    <row r="14" customFormat="false" ht="68.65" hidden="false" customHeight="false" outlineLevel="0" collapsed="false">
      <c r="A14" s="0" t="s">
        <v>53</v>
      </c>
      <c r="B14" s="12" t="n">
        <v>0.04</v>
      </c>
      <c r="C14" s="7" t="s">
        <v>44</v>
      </c>
      <c r="D14" s="7" t="s">
        <v>45</v>
      </c>
      <c r="E14" s="9" t="s">
        <v>32</v>
      </c>
      <c r="F14" s="9" t="s">
        <v>54</v>
      </c>
    </row>
    <row r="15" customFormat="false" ht="28.35" hidden="false" customHeight="false" outlineLevel="0" collapsed="false">
      <c r="A15" s="0" t="s">
        <v>55</v>
      </c>
      <c r="B15" s="13" t="n">
        <v>0</v>
      </c>
      <c r="C15" s="7" t="s">
        <v>56</v>
      </c>
      <c r="D15" s="7" t="s">
        <v>57</v>
      </c>
      <c r="E15" s="9" t="s">
        <v>32</v>
      </c>
      <c r="F15" s="9" t="s">
        <v>58</v>
      </c>
    </row>
    <row r="16" customFormat="false" ht="15" hidden="false" customHeight="false" outlineLevel="0" collapsed="false">
      <c r="A16" s="2" t="s">
        <v>59</v>
      </c>
      <c r="C16" s="7"/>
      <c r="D16" s="7"/>
    </row>
    <row r="17" customFormat="false" ht="68.65" hidden="false" customHeight="false" outlineLevel="0" collapsed="false">
      <c r="A17" s="0" t="s">
        <v>60</v>
      </c>
      <c r="B17" s="13" t="n">
        <v>0.0555</v>
      </c>
      <c r="C17" s="7" t="s">
        <v>61</v>
      </c>
      <c r="D17" s="7" t="s">
        <v>62</v>
      </c>
      <c r="E17" s="9" t="s">
        <v>32</v>
      </c>
      <c r="F17" s="9" t="s">
        <v>63</v>
      </c>
    </row>
    <row r="18" customFormat="false" ht="28.35" hidden="false" customHeight="false" outlineLevel="0" collapsed="false">
      <c r="A18" s="0" t="s">
        <v>64</v>
      </c>
      <c r="B18" s="12" t="n">
        <v>0.125</v>
      </c>
      <c r="C18" s="7" t="s">
        <v>65</v>
      </c>
      <c r="D18" s="7" t="s">
        <v>66</v>
      </c>
      <c r="E18" s="9" t="s">
        <v>32</v>
      </c>
      <c r="F18" s="9" t="s">
        <v>67</v>
      </c>
    </row>
    <row r="19" customFormat="false" ht="41.75" hidden="false" customHeight="false" outlineLevel="0" collapsed="false">
      <c r="A19" s="0" t="s">
        <v>68</v>
      </c>
      <c r="B19" s="10" t="n">
        <v>5</v>
      </c>
      <c r="C19" s="7" t="s">
        <v>69</v>
      </c>
      <c r="D19" s="7" t="s">
        <v>70</v>
      </c>
      <c r="E19" s="9" t="s">
        <v>32</v>
      </c>
      <c r="F19" s="9" t="s">
        <v>71</v>
      </c>
    </row>
    <row r="20" customFormat="false" ht="15" hidden="false" customHeight="false" outlineLevel="0" collapsed="false">
      <c r="A20" s="0" t="s">
        <v>72</v>
      </c>
      <c r="B20" s="12" t="n">
        <v>0.18</v>
      </c>
      <c r="C20" s="7" t="s">
        <v>73</v>
      </c>
      <c r="D20" s="7" t="s">
        <v>74</v>
      </c>
      <c r="E20" s="9" t="s">
        <v>32</v>
      </c>
      <c r="F20" s="9" t="s">
        <v>75</v>
      </c>
    </row>
    <row r="21" customFormat="false" ht="15" hidden="false" customHeight="false" outlineLevel="0" collapsed="false">
      <c r="A21" s="0" t="s">
        <v>76</v>
      </c>
      <c r="B21" s="13" t="n">
        <v>0.017</v>
      </c>
      <c r="C21" s="7" t="s">
        <v>77</v>
      </c>
      <c r="D21" s="7" t="s">
        <v>78</v>
      </c>
      <c r="E21" s="9" t="s">
        <v>32</v>
      </c>
      <c r="F21" s="9" t="s">
        <v>79</v>
      </c>
    </row>
    <row r="22" customFormat="false" ht="28.35" hidden="false" customHeight="false" outlineLevel="0" collapsed="false">
      <c r="A22" s="0" t="s">
        <v>80</v>
      </c>
      <c r="B22" s="13" t="n">
        <v>0.02</v>
      </c>
      <c r="C22" s="7" t="s">
        <v>77</v>
      </c>
      <c r="D22" s="7" t="s">
        <v>81</v>
      </c>
      <c r="E22" s="9" t="s">
        <v>32</v>
      </c>
      <c r="F22" s="9" t="s">
        <v>82</v>
      </c>
    </row>
    <row r="23" customFormat="false" ht="41.75" hidden="false" customHeight="false" outlineLevel="0" collapsed="false">
      <c r="A23" s="0" t="s">
        <v>83</v>
      </c>
      <c r="B23" s="12" t="n">
        <v>0.115</v>
      </c>
      <c r="C23" s="7" t="s">
        <v>77</v>
      </c>
      <c r="D23" s="7" t="s">
        <v>84</v>
      </c>
      <c r="E23" s="9" t="s">
        <v>32</v>
      </c>
      <c r="F23" s="9" t="s">
        <v>85</v>
      </c>
    </row>
    <row r="24" customFormat="false" ht="15" hidden="false" customHeight="false" outlineLevel="0" collapsed="false">
      <c r="A24" s="2" t="s">
        <v>86</v>
      </c>
      <c r="C24" s="7"/>
      <c r="D24" s="7"/>
    </row>
    <row r="25" customFormat="false" ht="15" hidden="false" customHeight="false" outlineLevel="0" collapsed="false">
      <c r="A25" s="0" t="s">
        <v>87</v>
      </c>
      <c r="B25" s="12" t="n">
        <v>0.025</v>
      </c>
      <c r="C25" s="7" t="s">
        <v>88</v>
      </c>
      <c r="D25" s="7" t="s">
        <v>89</v>
      </c>
      <c r="E25" s="9" t="s">
        <v>32</v>
      </c>
      <c r="F25" s="9" t="s">
        <v>90</v>
      </c>
    </row>
    <row r="26" customFormat="false" ht="15" hidden="false" customHeight="false" outlineLevel="0" collapsed="false">
      <c r="A26" s="2" t="s">
        <v>91</v>
      </c>
      <c r="C26" s="7"/>
      <c r="D26" s="7"/>
    </row>
    <row r="27" customFormat="false" ht="15" hidden="false" customHeight="false" outlineLevel="0" collapsed="false">
      <c r="A27" s="0" t="s">
        <v>92</v>
      </c>
      <c r="B27" s="14" t="n">
        <v>33.87</v>
      </c>
      <c r="C27" s="7" t="s">
        <v>93</v>
      </c>
      <c r="D27" s="7" t="s">
        <v>94</v>
      </c>
      <c r="E27" s="9" t="s">
        <v>32</v>
      </c>
      <c r="F27" s="9" t="s">
        <v>95</v>
      </c>
    </row>
    <row r="28" customFormat="false" ht="15" hidden="false" customHeight="false" outlineLevel="0" collapsed="false">
      <c r="A28" s="0" t="s">
        <v>96</v>
      </c>
      <c r="B28" s="13" t="n">
        <v>0.05277</v>
      </c>
      <c r="C28" s="7" t="s">
        <v>97</v>
      </c>
      <c r="D28" s="7" t="s">
        <v>98</v>
      </c>
      <c r="E28" s="9" t="s">
        <v>32</v>
      </c>
      <c r="F28" s="9" t="s">
        <v>99</v>
      </c>
    </row>
    <row r="29" customFormat="false" ht="28.35" hidden="false" customHeight="false" outlineLevel="0" collapsed="false">
      <c r="A29" s="0" t="s">
        <v>100</v>
      </c>
      <c r="B29" s="15" t="n">
        <v>1.092</v>
      </c>
      <c r="C29" s="7" t="s">
        <v>101</v>
      </c>
      <c r="D29" s="7" t="s">
        <v>102</v>
      </c>
      <c r="E29" s="9" t="s">
        <v>32</v>
      </c>
      <c r="F29" s="9" t="s">
        <v>103</v>
      </c>
    </row>
    <row r="30" customFormat="false" ht="55.2" hidden="false" customHeight="false" outlineLevel="0" collapsed="false">
      <c r="A30" s="0" t="s">
        <v>104</v>
      </c>
      <c r="B30" s="13" t="n">
        <v>0.0409</v>
      </c>
      <c r="C30" s="7" t="s">
        <v>105</v>
      </c>
      <c r="D30" s="7" t="s">
        <v>106</v>
      </c>
      <c r="E30" s="9" t="s">
        <v>32</v>
      </c>
      <c r="F30" s="9" t="s">
        <v>107</v>
      </c>
    </row>
    <row r="31" customFormat="false" ht="28.35" hidden="false" customHeight="false" outlineLevel="0" collapsed="false">
      <c r="A31" s="0" t="s">
        <v>108</v>
      </c>
      <c r="B31" s="13" t="n">
        <v>0.008</v>
      </c>
      <c r="C31" s="7" t="s">
        <v>109</v>
      </c>
      <c r="D31" s="7" t="s">
        <v>110</v>
      </c>
      <c r="E31" s="9" t="s">
        <v>32</v>
      </c>
      <c r="F31" s="9" t="s">
        <v>111</v>
      </c>
    </row>
    <row r="32" customFormat="false" ht="15" hidden="false" customHeight="false" outlineLevel="0" collapsed="false">
      <c r="A32" s="0" t="s">
        <v>112</v>
      </c>
      <c r="B32" s="12" t="n">
        <v>0.21</v>
      </c>
      <c r="C32" s="7" t="s">
        <v>113</v>
      </c>
      <c r="D32" s="7" t="s">
        <v>114</v>
      </c>
      <c r="E32" s="9" t="s">
        <v>32</v>
      </c>
      <c r="F32" s="9" t="s">
        <v>115</v>
      </c>
    </row>
    <row r="33" customFormat="false" ht="15" hidden="false" customHeight="false" outlineLevel="0" collapsed="false">
      <c r="A33" s="2" t="s">
        <v>116</v>
      </c>
      <c r="C33" s="7"/>
      <c r="D33" s="7"/>
    </row>
    <row r="34" customFormat="false" ht="28.35" hidden="false" customHeight="false" outlineLevel="0" collapsed="false">
      <c r="A34" s="0" t="s">
        <v>117</v>
      </c>
      <c r="B34" s="16" t="n">
        <v>6903</v>
      </c>
      <c r="C34" s="7" t="s">
        <v>118</v>
      </c>
      <c r="D34" s="7" t="s">
        <v>119</v>
      </c>
      <c r="E34" s="9" t="s">
        <v>32</v>
      </c>
      <c r="F34" s="9" t="s">
        <v>120</v>
      </c>
    </row>
    <row r="35" customFormat="false" ht="28.35" hidden="false" customHeight="false" outlineLevel="0" collapsed="false">
      <c r="A35" s="0" t="s">
        <v>121</v>
      </c>
      <c r="B35" s="16" t="n">
        <v>1465</v>
      </c>
      <c r="C35" s="7" t="s">
        <v>118</v>
      </c>
      <c r="D35" s="7" t="s">
        <v>122</v>
      </c>
      <c r="E35" s="9" t="s">
        <v>32</v>
      </c>
      <c r="F35" s="9" t="s">
        <v>123</v>
      </c>
    </row>
    <row r="36" customFormat="false" ht="28.35" hidden="false" customHeight="false" outlineLevel="0" collapsed="false">
      <c r="A36" s="0" t="s">
        <v>124</v>
      </c>
      <c r="B36" s="16" t="n">
        <v>5893</v>
      </c>
      <c r="C36" s="7" t="s">
        <v>118</v>
      </c>
      <c r="D36" s="7" t="s">
        <v>125</v>
      </c>
      <c r="E36" s="9" t="s">
        <v>32</v>
      </c>
      <c r="F36" s="9" t="s">
        <v>126</v>
      </c>
    </row>
    <row r="37" customFormat="false" ht="28.35" hidden="false" customHeight="false" outlineLevel="0" collapsed="false">
      <c r="A37" s="0" t="s">
        <v>127</v>
      </c>
      <c r="B37" s="16" t="n">
        <v>2000</v>
      </c>
      <c r="C37" s="7" t="s">
        <v>118</v>
      </c>
      <c r="D37" s="7" t="s">
        <v>128</v>
      </c>
      <c r="E37" s="9" t="s">
        <v>32</v>
      </c>
      <c r="F37" s="9" t="s">
        <v>129</v>
      </c>
    </row>
    <row r="38" customFormat="false" ht="15" hidden="false" customHeight="false" outlineLevel="0" collapsed="false">
      <c r="A38" s="0" t="s">
        <v>130</v>
      </c>
      <c r="B38" s="16" t="n">
        <v>0</v>
      </c>
      <c r="C38" s="7" t="s">
        <v>118</v>
      </c>
      <c r="D38" s="7" t="s">
        <v>131</v>
      </c>
      <c r="E38" s="9" t="s">
        <v>32</v>
      </c>
      <c r="F38" s="9" t="s">
        <v>132</v>
      </c>
    </row>
    <row r="39" customFormat="false" ht="41.75" hidden="false" customHeight="false" outlineLevel="0" collapsed="false">
      <c r="A39" s="0" t="s">
        <v>133</v>
      </c>
      <c r="B39" s="17" t="n">
        <v>1484.2</v>
      </c>
      <c r="C39" s="7" t="s">
        <v>134</v>
      </c>
      <c r="D39" s="7" t="s">
        <v>135</v>
      </c>
      <c r="E39" s="9" t="s">
        <v>32</v>
      </c>
      <c r="F39" s="9" t="s">
        <v>136</v>
      </c>
    </row>
    <row r="40" customFormat="false" ht="15" hidden="false" customHeight="false" outlineLevel="0" collapsed="false">
      <c r="A40" s="2" t="s">
        <v>137</v>
      </c>
      <c r="C40" s="7"/>
      <c r="D40" s="7"/>
    </row>
    <row r="41" customFormat="false" ht="28.35" hidden="false" customHeight="false" outlineLevel="0" collapsed="false">
      <c r="A41" s="0" t="s">
        <v>138</v>
      </c>
      <c r="B41" s="13" t="n">
        <v>0.005</v>
      </c>
      <c r="C41" s="7" t="s">
        <v>139</v>
      </c>
      <c r="D41" s="7" t="s">
        <v>140</v>
      </c>
      <c r="E41" s="9" t="s">
        <v>32</v>
      </c>
      <c r="F41" s="9" t="s">
        <v>141</v>
      </c>
    </row>
    <row r="42" customFormat="false" ht="28.35" hidden="false" customHeight="false" outlineLevel="0" collapsed="false">
      <c r="A42" s="0" t="s">
        <v>142</v>
      </c>
      <c r="B42" s="13" t="n">
        <v>0.005</v>
      </c>
      <c r="C42" s="7" t="s">
        <v>143</v>
      </c>
      <c r="D42" s="7" t="s">
        <v>140</v>
      </c>
      <c r="E42" s="9" t="s">
        <v>32</v>
      </c>
      <c r="F42" s="9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3" min="2" style="0" width="11"/>
    <col collapsed="false" customWidth="true" hidden="false" outlineLevel="0" max="14" min="14" style="0" width="70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0" t="s">
        <v>146</v>
      </c>
    </row>
    <row r="4" customFormat="false" ht="28.35" hidden="false" customHeight="false" outlineLevel="0" collapsed="false">
      <c r="A4" s="6" t="s">
        <v>147</v>
      </c>
      <c r="B4" s="6" t="s">
        <v>148</v>
      </c>
      <c r="C4" s="6" t="s">
        <v>149</v>
      </c>
      <c r="D4" s="6" t="s">
        <v>150</v>
      </c>
      <c r="E4" s="6" t="s">
        <v>151</v>
      </c>
      <c r="F4" s="6" t="s">
        <v>152</v>
      </c>
      <c r="G4" s="6" t="s">
        <v>153</v>
      </c>
      <c r="H4" s="6" t="s">
        <v>154</v>
      </c>
      <c r="I4" s="6" t="s">
        <v>155</v>
      </c>
      <c r="J4" s="6" t="s">
        <v>156</v>
      </c>
      <c r="K4" s="6" t="s">
        <v>157</v>
      </c>
      <c r="L4" s="6" t="s">
        <v>158</v>
      </c>
      <c r="M4" s="6" t="s">
        <v>159</v>
      </c>
      <c r="N4" s="6" t="s">
        <v>160</v>
      </c>
    </row>
    <row r="5" customFormat="false" ht="15" hidden="false" customHeight="false" outlineLevel="0" collapsed="false">
      <c r="A5" s="2" t="s">
        <v>161</v>
      </c>
    </row>
    <row r="6" customFormat="false" ht="15" hidden="false" customHeight="false" outlineLevel="0" collapsed="false">
      <c r="A6" s="0" t="s">
        <v>162</v>
      </c>
      <c r="B6" s="18" t="n">
        <v>34350</v>
      </c>
      <c r="C6" s="18" t="n">
        <v>36397</v>
      </c>
      <c r="D6" s="18" t="n">
        <v>39117</v>
      </c>
      <c r="E6" s="18" t="n">
        <v>37403</v>
      </c>
      <c r="F6" s="18" t="n">
        <v>44538</v>
      </c>
      <c r="G6" s="18" t="n">
        <v>46710</v>
      </c>
      <c r="H6" s="18" t="n">
        <v>51217</v>
      </c>
      <c r="I6" s="18" t="n">
        <v>51362</v>
      </c>
      <c r="J6" s="18" t="n">
        <v>46309</v>
      </c>
      <c r="K6" s="18" t="n">
        <v>46398</v>
      </c>
      <c r="N6" s="9" t="s">
        <v>163</v>
      </c>
    </row>
    <row r="7" customFormat="false" ht="15" hidden="false" customHeight="false" outlineLevel="0" collapsed="false">
      <c r="A7" s="0" t="s">
        <v>164</v>
      </c>
      <c r="B7" s="18" t="n">
        <v>15312</v>
      </c>
      <c r="C7" s="18" t="n">
        <v>15956</v>
      </c>
      <c r="D7" s="18" t="n">
        <v>17474</v>
      </c>
      <c r="E7" s="18" t="n">
        <v>16241</v>
      </c>
      <c r="F7" s="18" t="n">
        <v>19962</v>
      </c>
      <c r="G7" s="18" t="n">
        <v>21479</v>
      </c>
      <c r="H7" s="18" t="n">
        <v>22292</v>
      </c>
      <c r="I7" s="18" t="n">
        <v>22887</v>
      </c>
      <c r="J7" s="18" t="n">
        <v>19790</v>
      </c>
      <c r="K7" s="18" t="n">
        <v>19911</v>
      </c>
      <c r="N7" s="9" t="s">
        <v>163</v>
      </c>
    </row>
    <row r="8" customFormat="false" ht="15" hidden="false" customHeight="false" outlineLevel="0" collapsed="false">
      <c r="A8" s="0" t="s">
        <v>165</v>
      </c>
      <c r="B8" s="18" t="n">
        <v>10563</v>
      </c>
      <c r="C8" s="18" t="n">
        <v>11511</v>
      </c>
      <c r="D8" s="18" t="n">
        <v>12702</v>
      </c>
      <c r="E8" s="18" t="n">
        <v>13126</v>
      </c>
      <c r="F8" s="18" t="n">
        <v>13025</v>
      </c>
      <c r="G8" s="18" t="n">
        <v>14804</v>
      </c>
      <c r="H8" s="18" t="n">
        <v>16377</v>
      </c>
      <c r="I8" s="18" t="n">
        <v>16576</v>
      </c>
      <c r="J8" s="18" t="n">
        <v>16088</v>
      </c>
      <c r="K8" s="18" t="n">
        <v>16114</v>
      </c>
      <c r="N8" s="9" t="s">
        <v>163</v>
      </c>
    </row>
    <row r="9" customFormat="false" ht="15" hidden="false" customHeight="false" outlineLevel="0" collapsed="false">
      <c r="A9" s="0" t="s">
        <v>166</v>
      </c>
      <c r="B9" s="19" t="n">
        <f aca="false">B7-B8</f>
        <v>4749</v>
      </c>
      <c r="C9" s="19" t="n">
        <f aca="false">C7-C8</f>
        <v>4445</v>
      </c>
      <c r="D9" s="19" t="n">
        <f aca="false">D7-D8</f>
        <v>4772</v>
      </c>
      <c r="E9" s="19" t="n">
        <f aca="false">E7-E8</f>
        <v>3115</v>
      </c>
      <c r="F9" s="19" t="n">
        <f aca="false">F7-F8</f>
        <v>6937</v>
      </c>
      <c r="G9" s="19" t="n">
        <f aca="false">G7-G8</f>
        <v>6675</v>
      </c>
      <c r="H9" s="19" t="n">
        <f aca="false">H7-H8</f>
        <v>5915</v>
      </c>
      <c r="I9" s="19" t="n">
        <f aca="false">I7-I8</f>
        <v>6311</v>
      </c>
      <c r="J9" s="19" t="n">
        <f aca="false">J7-J8</f>
        <v>3702</v>
      </c>
      <c r="K9" s="19" t="n">
        <f aca="false">K7-K8</f>
        <v>3797</v>
      </c>
      <c r="N9" s="9" t="s">
        <v>167</v>
      </c>
    </row>
    <row r="10" customFormat="false" ht="15" hidden="false" customHeight="false" outlineLevel="0" collapsed="false">
      <c r="A10" s="0" t="s">
        <v>168</v>
      </c>
      <c r="B10" s="18" t="n">
        <v>4886</v>
      </c>
      <c r="C10" s="18" t="n">
        <v>4325</v>
      </c>
      <c r="D10" s="18" t="n">
        <v>4801</v>
      </c>
      <c r="E10" s="18" t="n">
        <v>2887</v>
      </c>
      <c r="F10" s="18" t="n">
        <v>6661</v>
      </c>
      <c r="G10" s="18" t="n">
        <v>6651</v>
      </c>
      <c r="H10" s="18" t="n">
        <v>6201</v>
      </c>
      <c r="I10" s="18" t="n">
        <v>6700</v>
      </c>
      <c r="J10" s="18" t="n">
        <v>3885</v>
      </c>
      <c r="K10" s="18" t="n">
        <v>3900</v>
      </c>
      <c r="N10" s="9" t="s">
        <v>163</v>
      </c>
    </row>
    <row r="11" customFormat="false" ht="15" hidden="false" customHeight="false" outlineLevel="0" collapsed="false">
      <c r="A11" s="0" t="s">
        <v>169</v>
      </c>
      <c r="B11" s="18" t="n">
        <v>646</v>
      </c>
      <c r="C11" s="18" t="n">
        <v>2392</v>
      </c>
      <c r="D11" s="18" t="n">
        <v>772</v>
      </c>
      <c r="E11" s="18" t="n">
        <v>348</v>
      </c>
      <c r="F11" s="18" t="n">
        <v>934</v>
      </c>
      <c r="G11" s="18" t="n">
        <v>605</v>
      </c>
      <c r="H11" s="18" t="n">
        <v>1131</v>
      </c>
      <c r="I11" s="18" t="n">
        <v>1000</v>
      </c>
      <c r="J11" s="18" t="n">
        <v>666</v>
      </c>
      <c r="K11" s="18" t="n">
        <v>792</v>
      </c>
      <c r="N11" s="9" t="s">
        <v>163</v>
      </c>
    </row>
    <row r="12" customFormat="false" ht="15" hidden="false" customHeight="false" outlineLevel="0" collapsed="false">
      <c r="A12" s="0" t="s">
        <v>170</v>
      </c>
      <c r="B12" s="18" t="n">
        <v>4240</v>
      </c>
      <c r="C12" s="18" t="n">
        <v>1933</v>
      </c>
      <c r="D12" s="18" t="n">
        <v>4029</v>
      </c>
      <c r="E12" s="18" t="n">
        <v>2539</v>
      </c>
      <c r="F12" s="18" t="n">
        <v>5727</v>
      </c>
      <c r="G12" s="18" t="n">
        <v>6046</v>
      </c>
      <c r="H12" s="18" t="n">
        <v>5070</v>
      </c>
      <c r="I12" s="18" t="n">
        <v>5700</v>
      </c>
      <c r="J12" s="18" t="n">
        <v>3219</v>
      </c>
      <c r="K12" s="18" t="n">
        <v>3108</v>
      </c>
      <c r="N12" s="9" t="s">
        <v>163</v>
      </c>
    </row>
    <row r="13" customFormat="false" ht="15" hidden="false" customHeight="false" outlineLevel="0" collapsed="false">
      <c r="A13" s="2" t="s">
        <v>171</v>
      </c>
    </row>
    <row r="14" customFormat="false" ht="15" hidden="false" customHeight="false" outlineLevel="0" collapsed="false">
      <c r="A14" s="0" t="s">
        <v>172</v>
      </c>
      <c r="B14" s="18" t="n">
        <v>3846</v>
      </c>
      <c r="C14" s="18" t="n">
        <v>4955</v>
      </c>
      <c r="D14" s="18" t="n">
        <v>5903</v>
      </c>
      <c r="E14" s="18" t="n">
        <v>2485</v>
      </c>
      <c r="F14" s="18" t="n">
        <v>6657</v>
      </c>
      <c r="G14" s="18" t="n">
        <v>5188</v>
      </c>
      <c r="H14" s="18" t="n">
        <v>5841</v>
      </c>
      <c r="I14" s="18" t="n">
        <v>7429</v>
      </c>
      <c r="J14" s="18" t="n">
        <v>3698</v>
      </c>
      <c r="K14" s="18" t="n">
        <v>2868</v>
      </c>
      <c r="N14" s="9" t="s">
        <v>163</v>
      </c>
    </row>
    <row r="15" customFormat="false" ht="15" hidden="false" customHeight="false" outlineLevel="0" collapsed="false">
      <c r="A15" s="0" t="s">
        <v>173</v>
      </c>
      <c r="B15" s="18" t="n">
        <v>706</v>
      </c>
      <c r="C15" s="18" t="n">
        <v>747</v>
      </c>
      <c r="D15" s="18" t="n">
        <v>705</v>
      </c>
      <c r="E15" s="18" t="n">
        <v>721</v>
      </c>
      <c r="F15" s="18" t="n">
        <v>744</v>
      </c>
      <c r="G15" s="18" t="n">
        <v>717</v>
      </c>
      <c r="H15" s="18" t="n">
        <v>703</v>
      </c>
      <c r="I15" s="18" t="n">
        <v>796</v>
      </c>
      <c r="J15" s="18" t="n">
        <v>775</v>
      </c>
      <c r="K15" s="18" t="n">
        <v>747</v>
      </c>
      <c r="N15" s="9" t="s">
        <v>163</v>
      </c>
    </row>
    <row r="16" customFormat="false" ht="15" hidden="false" customHeight="false" outlineLevel="0" collapsed="false">
      <c r="A16" s="0" t="s">
        <v>174</v>
      </c>
      <c r="B16" s="18" t="n">
        <v>1105</v>
      </c>
      <c r="C16" s="18" t="n">
        <v>1028</v>
      </c>
      <c r="D16" s="18" t="n">
        <v>1119</v>
      </c>
      <c r="E16" s="18" t="n">
        <v>1086</v>
      </c>
      <c r="F16" s="18" t="n">
        <v>695</v>
      </c>
      <c r="G16" s="18" t="n">
        <v>758</v>
      </c>
      <c r="H16" s="18" t="n">
        <v>969</v>
      </c>
      <c r="I16" s="18" t="n">
        <v>812</v>
      </c>
      <c r="J16" s="18" t="n">
        <v>430</v>
      </c>
      <c r="K16" s="18" t="n">
        <v>684</v>
      </c>
      <c r="N16" s="9" t="s">
        <v>163</v>
      </c>
    </row>
    <row r="17" customFormat="false" ht="15" hidden="false" customHeight="false" outlineLevel="0" collapsed="false">
      <c r="A17" s="0" t="s">
        <v>175</v>
      </c>
      <c r="B17" s="19" t="n">
        <f aca="false">B14-B16</f>
        <v>2741</v>
      </c>
      <c r="C17" s="19" t="n">
        <f aca="false">C14-C16</f>
        <v>3927</v>
      </c>
      <c r="D17" s="19" t="n">
        <f aca="false">D14-D16</f>
        <v>4784</v>
      </c>
      <c r="E17" s="19" t="n">
        <f aca="false">E14-E16</f>
        <v>1399</v>
      </c>
      <c r="F17" s="19" t="n">
        <f aca="false">F14-F16</f>
        <v>5962</v>
      </c>
      <c r="G17" s="19" t="n">
        <f aca="false">G14-G16</f>
        <v>4430</v>
      </c>
      <c r="H17" s="19" t="n">
        <f aca="false">H14-H16</f>
        <v>4872</v>
      </c>
      <c r="I17" s="19" t="n">
        <f aca="false">I14-I16</f>
        <v>6617</v>
      </c>
      <c r="J17" s="19" t="n">
        <f aca="false">J14-J16</f>
        <v>3268</v>
      </c>
      <c r="K17" s="19" t="n">
        <f aca="false">K14-K16</f>
        <v>2184</v>
      </c>
      <c r="N17" s="9" t="s">
        <v>176</v>
      </c>
    </row>
    <row r="18" customFormat="false" ht="15" hidden="false" customHeight="false" outlineLevel="0" collapsed="false">
      <c r="A18" s="2" t="s">
        <v>177</v>
      </c>
    </row>
    <row r="19" customFormat="false" ht="15" hidden="false" customHeight="false" outlineLevel="0" collapsed="false">
      <c r="A19" s="0" t="s">
        <v>178</v>
      </c>
      <c r="B19" s="18" t="n">
        <v>3808</v>
      </c>
      <c r="C19" s="18" t="n">
        <v>4249</v>
      </c>
      <c r="D19" s="18" t="n">
        <v>4466</v>
      </c>
      <c r="E19" s="18" t="n">
        <v>8348</v>
      </c>
      <c r="F19" s="18" t="n">
        <v>9889</v>
      </c>
      <c r="G19" s="18" t="n">
        <v>8574</v>
      </c>
      <c r="H19" s="18" t="n">
        <v>7441</v>
      </c>
      <c r="I19" s="18" t="n">
        <v>9860</v>
      </c>
      <c r="J19" s="18" t="n">
        <v>7464</v>
      </c>
      <c r="K19" s="18" t="n">
        <v>7563</v>
      </c>
      <c r="N19" s="9" t="s">
        <v>163</v>
      </c>
    </row>
    <row r="20" customFormat="false" ht="15" hidden="false" customHeight="false" outlineLevel="0" collapsed="false">
      <c r="A20" s="0" t="s">
        <v>179</v>
      </c>
      <c r="B20" s="18" t="n">
        <v>2371</v>
      </c>
      <c r="C20" s="18" t="n">
        <v>996</v>
      </c>
      <c r="D20" s="18" t="n">
        <v>197</v>
      </c>
      <c r="E20" s="18" t="n">
        <v>439</v>
      </c>
      <c r="F20" s="18" t="n">
        <v>3587</v>
      </c>
      <c r="G20" s="18" t="n">
        <v>4423</v>
      </c>
      <c r="H20" s="18" t="n">
        <v>3234</v>
      </c>
      <c r="I20" s="18" t="n">
        <v>1722</v>
      </c>
      <c r="J20" s="18" t="n">
        <v>1687</v>
      </c>
      <c r="K20" s="18" t="n">
        <v>1464</v>
      </c>
      <c r="N20" s="9" t="s">
        <v>163</v>
      </c>
    </row>
    <row r="21" customFormat="false" ht="15" hidden="false" customHeight="false" outlineLevel="0" collapsed="false">
      <c r="A21" s="0" t="s">
        <v>180</v>
      </c>
      <c r="B21" s="18" t="n">
        <v>3677</v>
      </c>
      <c r="C21" s="18" t="n">
        <v>3498</v>
      </c>
      <c r="D21" s="18" t="n">
        <v>4272</v>
      </c>
      <c r="E21" s="18" t="n">
        <v>2749</v>
      </c>
      <c r="F21" s="18" t="n">
        <v>4463</v>
      </c>
      <c r="G21" s="18" t="n">
        <v>4667</v>
      </c>
      <c r="H21" s="18" t="n">
        <v>4131</v>
      </c>
      <c r="I21" s="18" t="n">
        <v>4427</v>
      </c>
      <c r="J21" s="18" t="n">
        <v>4717</v>
      </c>
      <c r="K21" s="18" t="n">
        <v>5931</v>
      </c>
      <c r="N21" s="9" t="s">
        <v>163</v>
      </c>
    </row>
    <row r="22" customFormat="false" ht="15" hidden="false" customHeight="false" outlineLevel="0" collapsed="false">
      <c r="A22" s="0" t="s">
        <v>181</v>
      </c>
      <c r="B22" s="18" t="n">
        <v>5055</v>
      </c>
      <c r="C22" s="18" t="n">
        <v>5261</v>
      </c>
      <c r="D22" s="18" t="n">
        <v>5622</v>
      </c>
      <c r="E22" s="18" t="n">
        <v>7367</v>
      </c>
      <c r="F22" s="18" t="n">
        <v>6854</v>
      </c>
      <c r="G22" s="18" t="n">
        <v>8420</v>
      </c>
      <c r="H22" s="18" t="n">
        <v>8454</v>
      </c>
      <c r="I22" s="18" t="n">
        <v>7519</v>
      </c>
      <c r="J22" s="18" t="n">
        <v>7489</v>
      </c>
      <c r="K22" s="18" t="n">
        <v>7501</v>
      </c>
      <c r="N22" s="9" t="s">
        <v>163</v>
      </c>
    </row>
    <row r="23" customFormat="false" ht="15" hidden="false" customHeight="false" outlineLevel="0" collapsed="false">
      <c r="A23" s="0" t="s">
        <v>182</v>
      </c>
      <c r="B23" s="18" t="n">
        <v>1150</v>
      </c>
      <c r="C23" s="18" t="n">
        <v>1130</v>
      </c>
      <c r="D23" s="18" t="n">
        <v>1968</v>
      </c>
      <c r="E23" s="18" t="n">
        <v>1653</v>
      </c>
      <c r="F23" s="18" t="n">
        <v>1498</v>
      </c>
      <c r="G23" s="18" t="n">
        <v>2129</v>
      </c>
      <c r="H23" s="18" t="n">
        <v>1942</v>
      </c>
      <c r="I23" s="18" t="n">
        <v>1854</v>
      </c>
      <c r="J23" s="18" t="n">
        <v>2005</v>
      </c>
      <c r="K23" s="18" t="n">
        <v>2144</v>
      </c>
      <c r="N23" s="9" t="s">
        <v>163</v>
      </c>
    </row>
    <row r="24" customFormat="false" ht="15" hidden="false" customHeight="false" outlineLevel="0" collapsed="false">
      <c r="A24" s="0" t="s">
        <v>183</v>
      </c>
      <c r="B24" s="18" t="n">
        <v>2048</v>
      </c>
      <c r="C24" s="18" t="n">
        <v>2279</v>
      </c>
      <c r="D24" s="18" t="n">
        <v>2612</v>
      </c>
      <c r="E24" s="18" t="n">
        <v>2248</v>
      </c>
      <c r="F24" s="18" t="n">
        <v>2836</v>
      </c>
      <c r="G24" s="18" t="n">
        <v>3358</v>
      </c>
      <c r="H24" s="18" t="n">
        <v>2862</v>
      </c>
      <c r="I24" s="18" t="n">
        <v>2851</v>
      </c>
      <c r="J24" s="18" t="n">
        <v>3479</v>
      </c>
      <c r="K24" s="18" t="n">
        <v>3600</v>
      </c>
      <c r="N24" s="9" t="s">
        <v>163</v>
      </c>
    </row>
    <row r="25" customFormat="false" ht="15" hidden="false" customHeight="false" outlineLevel="0" collapsed="false">
      <c r="A25" s="0" t="s">
        <v>184</v>
      </c>
      <c r="B25" s="18" t="n">
        <v>3011</v>
      </c>
      <c r="C25" s="18" t="n">
        <v>3269</v>
      </c>
      <c r="D25" s="18" t="n">
        <v>5010</v>
      </c>
      <c r="E25" s="18" t="n">
        <v>5184</v>
      </c>
      <c r="F25" s="18" t="n">
        <v>6063</v>
      </c>
      <c r="G25" s="18" t="n">
        <v>6220</v>
      </c>
      <c r="H25" s="18" t="n">
        <v>5723</v>
      </c>
      <c r="I25" s="18" t="n">
        <v>5725</v>
      </c>
      <c r="J25" s="18" t="n">
        <v>5916</v>
      </c>
      <c r="K25" s="18" t="n">
        <v>6092</v>
      </c>
      <c r="N25" s="9" t="s">
        <v>163</v>
      </c>
    </row>
    <row r="26" customFormat="false" ht="15" hidden="false" customHeight="false" outlineLevel="0" collapsed="false">
      <c r="A26" s="0" t="s">
        <v>185</v>
      </c>
      <c r="B26" s="18" t="n">
        <v>3471</v>
      </c>
      <c r="C26" s="18" t="n">
        <v>3468</v>
      </c>
      <c r="D26" s="18" t="n">
        <v>3464</v>
      </c>
      <c r="E26" s="18" t="n">
        <v>9406</v>
      </c>
      <c r="F26" s="18" t="n">
        <v>9413</v>
      </c>
      <c r="G26" s="18" t="n">
        <v>8920</v>
      </c>
      <c r="H26" s="18" t="n">
        <v>8927</v>
      </c>
      <c r="I26" s="18" t="n">
        <v>7903</v>
      </c>
      <c r="J26" s="18" t="n">
        <v>7961</v>
      </c>
      <c r="K26" s="18" t="n">
        <v>5942</v>
      </c>
      <c r="N26" s="9" t="s">
        <v>163</v>
      </c>
    </row>
    <row r="27" customFormat="false" ht="15" hidden="false" customHeight="false" outlineLevel="0" collapsed="false">
      <c r="A27" s="0" t="s">
        <v>186</v>
      </c>
      <c r="B27" s="18" t="n">
        <v>6</v>
      </c>
      <c r="C27" s="18" t="n">
        <v>6</v>
      </c>
      <c r="D27" s="18" t="n">
        <v>6</v>
      </c>
      <c r="E27" s="18" t="n">
        <v>3</v>
      </c>
      <c r="F27" s="18" t="n">
        <v>0</v>
      </c>
      <c r="G27" s="18" t="n">
        <v>500</v>
      </c>
      <c r="H27" s="18" t="n">
        <v>0</v>
      </c>
      <c r="I27" s="18" t="n">
        <v>1000</v>
      </c>
      <c r="J27" s="18" t="n">
        <v>0</v>
      </c>
      <c r="K27" s="18" t="n">
        <v>2000</v>
      </c>
      <c r="N27" s="9" t="s">
        <v>163</v>
      </c>
    </row>
    <row r="28" customFormat="false" ht="15" hidden="false" customHeight="false" outlineLevel="0" collapsed="false">
      <c r="A28" s="0" t="s">
        <v>187</v>
      </c>
      <c r="B28" s="18" t="n">
        <v>325</v>
      </c>
      <c r="C28" s="18" t="n">
        <v>336</v>
      </c>
      <c r="D28" s="18" t="n">
        <v>9</v>
      </c>
      <c r="E28" s="18" t="n">
        <v>248</v>
      </c>
      <c r="F28" s="18" t="n">
        <v>2</v>
      </c>
      <c r="G28" s="18" t="n">
        <v>10</v>
      </c>
      <c r="H28" s="18" t="n">
        <v>6</v>
      </c>
      <c r="I28" s="18" t="n">
        <v>6</v>
      </c>
      <c r="J28" s="18" t="n">
        <v>5</v>
      </c>
      <c r="K28" s="18" t="n">
        <v>0</v>
      </c>
      <c r="N28" s="9" t="s">
        <v>188</v>
      </c>
    </row>
    <row r="29" customFormat="false" ht="15" hidden="false" customHeight="false" outlineLevel="0" collapsed="false">
      <c r="A29" s="0" t="s">
        <v>189</v>
      </c>
      <c r="B29" s="18" t="n">
        <v>12407</v>
      </c>
      <c r="C29" s="18" t="n">
        <v>9812</v>
      </c>
      <c r="D29" s="18" t="n">
        <v>9040</v>
      </c>
      <c r="E29" s="18" t="n">
        <v>8055</v>
      </c>
      <c r="F29" s="18" t="n">
        <v>12767</v>
      </c>
      <c r="G29" s="18" t="n">
        <v>15281</v>
      </c>
      <c r="H29" s="18" t="n">
        <v>14004</v>
      </c>
      <c r="I29" s="18" t="n">
        <v>14430</v>
      </c>
      <c r="J29" s="18" t="n">
        <v>13213</v>
      </c>
      <c r="K29" s="18" t="n">
        <v>14865</v>
      </c>
      <c r="N29" s="9" t="s">
        <v>163</v>
      </c>
    </row>
    <row r="30" customFormat="false" ht="15" hidden="false" customHeight="false" outlineLevel="0" collapsed="false">
      <c r="A30" s="0" t="s">
        <v>190</v>
      </c>
      <c r="B30" s="19" t="n">
        <f aca="false">B21+B22+B23-B24-B25</f>
        <v>4823</v>
      </c>
      <c r="C30" s="19" t="n">
        <f aca="false">C21+C22+C23-C24-C25</f>
        <v>4341</v>
      </c>
      <c r="D30" s="19" t="n">
        <f aca="false">D21+D22+D23-D24-D25</f>
        <v>4240</v>
      </c>
      <c r="E30" s="19" t="n">
        <f aca="false">E21+E22+E23-E24-E25</f>
        <v>4337</v>
      </c>
      <c r="F30" s="19" t="n">
        <f aca="false">F21+F22+F23-F24-F25</f>
        <v>3916</v>
      </c>
      <c r="G30" s="19" t="n">
        <f aca="false">G21+G22+G23-G24-G25</f>
        <v>5638</v>
      </c>
      <c r="H30" s="19" t="n">
        <f aca="false">H21+H22+H23-H24-H25</f>
        <v>5942</v>
      </c>
      <c r="I30" s="19" t="n">
        <f aca="false">I21+I22+I23-I24-I25</f>
        <v>5224</v>
      </c>
      <c r="J30" s="19" t="n">
        <f aca="false">J21+J22+J23-J24-J25</f>
        <v>4816</v>
      </c>
      <c r="K30" s="19" t="n">
        <f aca="false">K21+K22+K23-K24-K25</f>
        <v>5884</v>
      </c>
      <c r="N30" s="9" t="s">
        <v>191</v>
      </c>
    </row>
    <row r="31" customFormat="false" ht="15" hidden="false" customHeight="false" outlineLevel="0" collapsed="false">
      <c r="A31" s="0" t="s">
        <v>192</v>
      </c>
      <c r="B31" s="19" t="n">
        <f aca="false">B26+B27+B28</f>
        <v>3802</v>
      </c>
      <c r="C31" s="19" t="n">
        <f aca="false">C26+C27+C28</f>
        <v>3810</v>
      </c>
      <c r="D31" s="19" t="n">
        <f aca="false">D26+D27+D28</f>
        <v>3479</v>
      </c>
      <c r="E31" s="19" t="n">
        <f aca="false">E26+E27+E28</f>
        <v>9657</v>
      </c>
      <c r="F31" s="19" t="n">
        <f aca="false">F26+F27+F28</f>
        <v>9415</v>
      </c>
      <c r="G31" s="19" t="n">
        <f aca="false">G26+G27+G28</f>
        <v>9430</v>
      </c>
      <c r="H31" s="19" t="n">
        <f aca="false">H26+H27+H28</f>
        <v>8933</v>
      </c>
      <c r="I31" s="19" t="n">
        <f aca="false">I26+I27+I28</f>
        <v>8909</v>
      </c>
      <c r="J31" s="19" t="n">
        <f aca="false">J26+J27+J28</f>
        <v>7966</v>
      </c>
      <c r="K31" s="19" t="n">
        <f aca="false">K26+K27+K28</f>
        <v>7942</v>
      </c>
      <c r="N31" s="9" t="s">
        <v>193</v>
      </c>
    </row>
    <row r="32" customFormat="false" ht="15" hidden="false" customHeight="false" outlineLevel="0" collapsed="false">
      <c r="A32" s="2" t="s">
        <v>194</v>
      </c>
    </row>
    <row r="33" customFormat="false" ht="15" hidden="false" customHeight="false" outlineLevel="0" collapsed="false">
      <c r="A33" s="0" t="s">
        <v>195</v>
      </c>
      <c r="C33" s="20" t="n">
        <f aca="false">C6/B6-1</f>
        <v>0.0595924308588065</v>
      </c>
      <c r="D33" s="20" t="n">
        <f aca="false">D6/C6-1</f>
        <v>0.0747314339093881</v>
      </c>
      <c r="E33" s="20" t="n">
        <f aca="false">E6/D6-1</f>
        <v>-0.0438172661502672</v>
      </c>
      <c r="F33" s="20" t="n">
        <f aca="false">F6/E6-1</f>
        <v>0.190760099457263</v>
      </c>
      <c r="G33" s="20" t="n">
        <f aca="false">G6/F6-1</f>
        <v>0.0487673447393238</v>
      </c>
      <c r="H33" s="20" t="n">
        <f aca="false">H6/G6-1</f>
        <v>0.0964889745236566</v>
      </c>
      <c r="I33" s="20" t="n">
        <f aca="false">I6/H6-1</f>
        <v>0.00283109123923708</v>
      </c>
      <c r="J33" s="20" t="n">
        <f aca="false">J6/I6-1</f>
        <v>-0.0983801253845256</v>
      </c>
      <c r="K33" s="20" t="n">
        <f aca="false">K6/J6-1</f>
        <v>0.00192187263814803</v>
      </c>
      <c r="L33" s="21" t="n">
        <f aca="false">AVERAGE(C33:K33)</f>
        <v>0.03698842842567</v>
      </c>
      <c r="M33" s="21" t="n">
        <f aca="false">AVERAGE(G33:K33)</f>
        <v>0.010325831551168</v>
      </c>
      <c r="N33" s="9" t="s">
        <v>196</v>
      </c>
    </row>
    <row r="34" customFormat="false" ht="15" hidden="false" customHeight="false" outlineLevel="0" collapsed="false">
      <c r="A34" s="0" t="s">
        <v>197</v>
      </c>
      <c r="B34" s="20" t="n">
        <f aca="false">B7/B6</f>
        <v>0.445764192139738</v>
      </c>
      <c r="C34" s="20" t="n">
        <f aca="false">C7/C6</f>
        <v>0.438387779212572</v>
      </c>
      <c r="D34" s="20" t="n">
        <f aca="false">D7/D6</f>
        <v>0.446711148605466</v>
      </c>
      <c r="E34" s="20" t="n">
        <f aca="false">E7/E6</f>
        <v>0.434216506697324</v>
      </c>
      <c r="F34" s="20" t="n">
        <f aca="false">F7/F6</f>
        <v>0.44820153576721</v>
      </c>
      <c r="G34" s="20" t="n">
        <f aca="false">G7/G6</f>
        <v>0.45983729394134</v>
      </c>
      <c r="H34" s="20" t="n">
        <f aca="false">H7/H6</f>
        <v>0.435246109690142</v>
      </c>
      <c r="I34" s="20" t="n">
        <f aca="false">I7/I6</f>
        <v>0.445601806783225</v>
      </c>
      <c r="J34" s="20" t="n">
        <f aca="false">J7/J6</f>
        <v>0.427346736055626</v>
      </c>
      <c r="K34" s="20" t="n">
        <f aca="false">K7/K6</f>
        <v>0.429134876503298</v>
      </c>
      <c r="L34" s="21" t="n">
        <f aca="false">AVERAGE(B34:K34)</f>
        <v>0.441044798539594</v>
      </c>
      <c r="M34" s="21" t="n">
        <f aca="false">AVERAGE(G34:K34)</f>
        <v>0.439433364594726</v>
      </c>
      <c r="N34" s="9" t="s">
        <v>198</v>
      </c>
    </row>
    <row r="35" customFormat="false" ht="15" hidden="false" customHeight="false" outlineLevel="0" collapsed="false">
      <c r="A35" s="0" t="s">
        <v>199</v>
      </c>
      <c r="B35" s="20" t="n">
        <f aca="false">B9/B6</f>
        <v>0.13825327510917</v>
      </c>
      <c r="C35" s="20" t="n">
        <f aca="false">C9/C6</f>
        <v>0.122125449899717</v>
      </c>
      <c r="D35" s="20" t="n">
        <f aca="false">D9/D6</f>
        <v>0.121992995372856</v>
      </c>
      <c r="E35" s="20" t="n">
        <f aca="false">E9/E6</f>
        <v>0.0832820896719514</v>
      </c>
      <c r="F35" s="20" t="n">
        <f aca="false">F9/F6</f>
        <v>0.155754636490188</v>
      </c>
      <c r="G35" s="20" t="n">
        <f aca="false">G9/G6</f>
        <v>0.142903018625562</v>
      </c>
      <c r="H35" s="20" t="n">
        <f aca="false">H9/H6</f>
        <v>0.115488997793701</v>
      </c>
      <c r="I35" s="20" t="n">
        <f aca="false">I9/I6</f>
        <v>0.122872941084849</v>
      </c>
      <c r="J35" s="20" t="n">
        <f aca="false">J9/J6</f>
        <v>0.0799412641171263</v>
      </c>
      <c r="K35" s="20" t="n">
        <f aca="false">K9/K6</f>
        <v>0.0818354239406871</v>
      </c>
      <c r="L35" s="21" t="n">
        <f aca="false">AVERAGE(B35:K35)</f>
        <v>0.116445009210581</v>
      </c>
      <c r="M35" s="21" t="n">
        <f aca="false">AVERAGE(G35:K35)</f>
        <v>0.108608329112385</v>
      </c>
      <c r="N35" s="9" t="s">
        <v>200</v>
      </c>
    </row>
    <row r="36" customFormat="false" ht="15" hidden="false" customHeight="false" outlineLevel="0" collapsed="false">
      <c r="A36" s="0" t="s">
        <v>201</v>
      </c>
      <c r="B36" s="20" t="n">
        <f aca="false">B11/B10</f>
        <v>0.13221449038068</v>
      </c>
      <c r="C36" s="20" t="n">
        <f aca="false">C11/C10</f>
        <v>0.553063583815029</v>
      </c>
      <c r="D36" s="20" t="n">
        <f aca="false">D11/D10</f>
        <v>0.160799833368048</v>
      </c>
      <c r="E36" s="20" t="n">
        <f aca="false">E11/E10</f>
        <v>0.120540353307932</v>
      </c>
      <c r="F36" s="20" t="n">
        <f aca="false">F11/F10</f>
        <v>0.140219186308362</v>
      </c>
      <c r="G36" s="20" t="n">
        <f aca="false">G11/G10</f>
        <v>0.0909637648473914</v>
      </c>
      <c r="H36" s="20" t="n">
        <f aca="false">H11/H10</f>
        <v>0.182389937106918</v>
      </c>
      <c r="I36" s="20" t="n">
        <f aca="false">I11/I10</f>
        <v>0.149253731343284</v>
      </c>
      <c r="J36" s="20" t="n">
        <f aca="false">J11/J10</f>
        <v>0.171428571428571</v>
      </c>
      <c r="K36" s="20" t="n">
        <f aca="false">K11/K10</f>
        <v>0.203076923076923</v>
      </c>
      <c r="L36" s="21" t="n">
        <f aca="false">AVERAGE(B36:K36)</f>
        <v>0.190395037498314</v>
      </c>
      <c r="M36" s="21" t="n">
        <f aca="false">AVERAGE(G36:K36)</f>
        <v>0.159422585560618</v>
      </c>
      <c r="N36" s="9" t="s">
        <v>202</v>
      </c>
    </row>
    <row r="37" customFormat="false" ht="15" hidden="false" customHeight="false" outlineLevel="0" collapsed="false">
      <c r="A37" s="0" t="s">
        <v>203</v>
      </c>
      <c r="B37" s="22" t="n">
        <f aca="false">B15/B6</f>
        <v>0.0205531295487627</v>
      </c>
      <c r="C37" s="22" t="n">
        <f aca="false">C15/C6</f>
        <v>0.0205236695332033</v>
      </c>
      <c r="D37" s="22" t="n">
        <f aca="false">D15/D6</f>
        <v>0.0180228545133829</v>
      </c>
      <c r="E37" s="22" t="n">
        <f aca="false">E15/E6</f>
        <v>0.0192765286206989</v>
      </c>
      <c r="F37" s="22" t="n">
        <f aca="false">F15/F6</f>
        <v>0.0167048363195474</v>
      </c>
      <c r="G37" s="22" t="n">
        <f aca="false">G15/G6</f>
        <v>0.0153500321130379</v>
      </c>
      <c r="H37" s="22" t="n">
        <f aca="false">H15/H6</f>
        <v>0.0137259113185075</v>
      </c>
      <c r="I37" s="22" t="n">
        <f aca="false">I15/I6</f>
        <v>0.0154978388692029</v>
      </c>
      <c r="J37" s="22" t="n">
        <f aca="false">J15/J6</f>
        <v>0.0167354078040986</v>
      </c>
      <c r="K37" s="22" t="n">
        <f aca="false">K15/K6</f>
        <v>0.0160998318893056</v>
      </c>
      <c r="L37" s="23" t="n">
        <f aca="false">AVERAGE(B37:K37)</f>
        <v>0.0172490040529748</v>
      </c>
      <c r="M37" s="23" t="n">
        <f aca="false">AVERAGE(G37:K37)</f>
        <v>0.0154818043988305</v>
      </c>
      <c r="N37" s="9" t="s">
        <v>204</v>
      </c>
    </row>
    <row r="38" customFormat="false" ht="15" hidden="false" customHeight="false" outlineLevel="0" collapsed="false">
      <c r="A38" s="0" t="s">
        <v>205</v>
      </c>
      <c r="B38" s="22" t="n">
        <f aca="false">B16/B6</f>
        <v>0.0321688500727802</v>
      </c>
      <c r="C38" s="22" t="n">
        <f aca="false">C16/C6</f>
        <v>0.0282440860510482</v>
      </c>
      <c r="D38" s="22" t="n">
        <f aca="false">D16/D6</f>
        <v>0.0286064882276248</v>
      </c>
      <c r="E38" s="22" t="n">
        <f aca="false">E16/E6</f>
        <v>0.0290351041360319</v>
      </c>
      <c r="F38" s="22" t="n">
        <f aca="false">F16/F6</f>
        <v>0.015604652207104</v>
      </c>
      <c r="G38" s="22" t="n">
        <f aca="false">G16/G6</f>
        <v>0.0162277884821237</v>
      </c>
      <c r="H38" s="22" t="n">
        <f aca="false">H16/H6</f>
        <v>0.0189194993849698</v>
      </c>
      <c r="I38" s="22" t="n">
        <f aca="false">I16/I6</f>
        <v>0.0158093532183326</v>
      </c>
      <c r="J38" s="22" t="n">
        <f aca="false">J16/J6</f>
        <v>0.00928545207195146</v>
      </c>
      <c r="K38" s="22" t="n">
        <f aca="false">K16/K6</f>
        <v>0.0147420147420147</v>
      </c>
      <c r="L38" s="23" t="n">
        <f aca="false">AVERAGE(B38:K38)</f>
        <v>0.0208643288593981</v>
      </c>
      <c r="M38" s="23" t="n">
        <f aca="false">AVERAGE(G38:K38)</f>
        <v>0.0149968215798785</v>
      </c>
      <c r="N38" s="9" t="s">
        <v>206</v>
      </c>
    </row>
    <row r="39" customFormat="false" ht="15" hidden="false" customHeight="false" outlineLevel="0" collapsed="false">
      <c r="A39" s="0" t="s">
        <v>83</v>
      </c>
      <c r="B39" s="20" t="n">
        <f aca="false">B30/B6</f>
        <v>0.140407569141194</v>
      </c>
      <c r="C39" s="20" t="n">
        <f aca="false">C30/C6</f>
        <v>0.119268071544358</v>
      </c>
      <c r="D39" s="20" t="n">
        <f aca="false">D30/D6</f>
        <v>0.108392770406729</v>
      </c>
      <c r="E39" s="20" t="n">
        <f aca="false">E30/E6</f>
        <v>0.11595326578082</v>
      </c>
      <c r="F39" s="20" t="n">
        <f aca="false">F30/F6</f>
        <v>0.08792491804751</v>
      </c>
      <c r="G39" s="20" t="n">
        <f aca="false">G30/G6</f>
        <v>0.120702205095269</v>
      </c>
      <c r="H39" s="20" t="n">
        <f aca="false">H30/H6</f>
        <v>0.116016166507214</v>
      </c>
      <c r="I39" s="20" t="n">
        <f aca="false">I30/I6</f>
        <v>0.101709434990849</v>
      </c>
      <c r="J39" s="20" t="n">
        <f aca="false">J30/J6</f>
        <v>0.103997063205856</v>
      </c>
      <c r="K39" s="20" t="n">
        <f aca="false">K30/K6</f>
        <v>0.126815811026337</v>
      </c>
      <c r="L39" s="21" t="n">
        <f aca="false">AVERAGE(B39:K39)</f>
        <v>0.114118727574614</v>
      </c>
      <c r="M39" s="21" t="n">
        <f aca="false">AVERAGE(G39:K39)</f>
        <v>0.113848136165105</v>
      </c>
      <c r="N39" s="9" t="s">
        <v>207</v>
      </c>
    </row>
    <row r="40" customFormat="false" ht="15" hidden="false" customHeight="false" outlineLevel="0" collapsed="false">
      <c r="A40" s="0" t="s">
        <v>208</v>
      </c>
      <c r="B40" s="20" t="n">
        <f aca="false">B17/B6</f>
        <v>0.0797962154294032</v>
      </c>
      <c r="C40" s="20" t="n">
        <f aca="false">C17/C6</f>
        <v>0.107893507706679</v>
      </c>
      <c r="D40" s="20" t="n">
        <f aca="false">D17/D6</f>
        <v>0.122299767364573</v>
      </c>
      <c r="E40" s="20" t="n">
        <f aca="false">E17/E6</f>
        <v>0.0374034168382215</v>
      </c>
      <c r="F40" s="20" t="n">
        <f aca="false">F17/F6</f>
        <v>0.133863217926265</v>
      </c>
      <c r="G40" s="20" t="n">
        <f aca="false">G17/G6</f>
        <v>0.0948405052451295</v>
      </c>
      <c r="H40" s="20" t="n">
        <f aca="false">H17/H6</f>
        <v>0.0951246656383623</v>
      </c>
      <c r="I40" s="20" t="n">
        <f aca="false">I17/I6</f>
        <v>0.128830653011954</v>
      </c>
      <c r="J40" s="20" t="n">
        <f aca="false">J17/J6</f>
        <v>0.0705694357468311</v>
      </c>
      <c r="K40" s="20" t="n">
        <f aca="false">K17/K6</f>
        <v>0.0470709944394155</v>
      </c>
      <c r="L40" s="21" t="n">
        <f aca="false">AVERAGE(B40:K40)</f>
        <v>0.0917692379346835</v>
      </c>
      <c r="M40" s="21" t="n">
        <f aca="false">AVERAGE(G40:K40)</f>
        <v>0.0872872508163386</v>
      </c>
      <c r="N40" s="9" t="s">
        <v>209</v>
      </c>
    </row>
    <row r="41" customFormat="false" ht="15" hidden="false" customHeight="false" outlineLevel="0" collapsed="false">
      <c r="A41" s="0" t="s">
        <v>210</v>
      </c>
      <c r="B41" s="21" t="n">
        <f aca="false">(I6/B6)^(1/7)-1</f>
        <v>0.0591544912937669</v>
      </c>
      <c r="N41" s="9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62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212</v>
      </c>
    </row>
    <row r="2" customFormat="false" ht="15" hidden="false" customHeight="false" outlineLevel="0" collapsed="false">
      <c r="A2" s="0" t="s">
        <v>213</v>
      </c>
    </row>
    <row r="4" customFormat="false" ht="28.35" hidden="false" customHeight="false" outlineLevel="0" collapsed="false">
      <c r="A4" s="6" t="s">
        <v>214</v>
      </c>
      <c r="B4" s="6" t="s">
        <v>215</v>
      </c>
      <c r="C4" s="6" t="s">
        <v>216</v>
      </c>
      <c r="D4" s="6" t="s">
        <v>217</v>
      </c>
      <c r="E4" s="6" t="s">
        <v>218</v>
      </c>
      <c r="F4" s="6" t="s">
        <v>219</v>
      </c>
      <c r="G4" s="6" t="s">
        <v>220</v>
      </c>
      <c r="H4" s="6" t="s">
        <v>221</v>
      </c>
    </row>
    <row r="5" customFormat="false" ht="15" hidden="false" customHeight="false" outlineLevel="0" collapsed="false">
      <c r="A5" s="0" t="s">
        <v>162</v>
      </c>
      <c r="B5" s="0" t="n">
        <v>2017</v>
      </c>
      <c r="C5" s="24" t="n">
        <v>34350</v>
      </c>
      <c r="D5" s="9" t="s">
        <v>222</v>
      </c>
      <c r="E5" s="9" t="s">
        <v>223</v>
      </c>
      <c r="F5" s="9" t="s">
        <v>224</v>
      </c>
      <c r="G5" s="9" t="s">
        <v>225</v>
      </c>
      <c r="H5" s="9" t="s">
        <v>226</v>
      </c>
    </row>
    <row r="6" customFormat="false" ht="15" hidden="false" customHeight="false" outlineLevel="0" collapsed="false">
      <c r="A6" s="0" t="s">
        <v>162</v>
      </c>
      <c r="B6" s="0" t="n">
        <v>2018</v>
      </c>
      <c r="C6" s="24" t="n">
        <v>36397</v>
      </c>
      <c r="D6" s="9" t="s">
        <v>222</v>
      </c>
      <c r="E6" s="9" t="s">
        <v>223</v>
      </c>
      <c r="F6" s="9" t="s">
        <v>227</v>
      </c>
      <c r="G6" s="9" t="s">
        <v>228</v>
      </c>
      <c r="H6" s="9" t="s">
        <v>229</v>
      </c>
    </row>
    <row r="7" customFormat="false" ht="15" hidden="false" customHeight="false" outlineLevel="0" collapsed="false">
      <c r="A7" s="0" t="s">
        <v>162</v>
      </c>
      <c r="B7" s="0" t="n">
        <v>2019</v>
      </c>
      <c r="C7" s="24" t="n">
        <v>39117</v>
      </c>
      <c r="D7" s="9" t="s">
        <v>222</v>
      </c>
      <c r="E7" s="9" t="s">
        <v>223</v>
      </c>
      <c r="F7" s="9" t="s">
        <v>230</v>
      </c>
      <c r="G7" s="9" t="s">
        <v>231</v>
      </c>
      <c r="H7" s="9" t="s">
        <v>232</v>
      </c>
    </row>
    <row r="8" customFormat="false" ht="15" hidden="false" customHeight="false" outlineLevel="0" collapsed="false">
      <c r="A8" s="0" t="s">
        <v>162</v>
      </c>
      <c r="B8" s="0" t="n">
        <v>2020</v>
      </c>
      <c r="C8" s="24" t="n">
        <v>37403</v>
      </c>
      <c r="D8" s="9" t="s">
        <v>222</v>
      </c>
      <c r="E8" s="9" t="s">
        <v>223</v>
      </c>
      <c r="F8" s="9" t="s">
        <v>233</v>
      </c>
      <c r="G8" s="9" t="s">
        <v>234</v>
      </c>
      <c r="H8" s="9" t="s">
        <v>235</v>
      </c>
    </row>
    <row r="9" customFormat="false" ht="15" hidden="false" customHeight="false" outlineLevel="0" collapsed="false">
      <c r="A9" s="0" t="s">
        <v>162</v>
      </c>
      <c r="B9" s="0" t="n">
        <v>2021</v>
      </c>
      <c r="C9" s="24" t="n">
        <v>44538</v>
      </c>
      <c r="D9" s="9" t="s">
        <v>222</v>
      </c>
      <c r="E9" s="9" t="s">
        <v>223</v>
      </c>
      <c r="F9" s="9" t="s">
        <v>236</v>
      </c>
      <c r="G9" s="9" t="s">
        <v>237</v>
      </c>
      <c r="H9" s="9" t="s">
        <v>238</v>
      </c>
    </row>
    <row r="10" customFormat="false" ht="15" hidden="false" customHeight="false" outlineLevel="0" collapsed="false">
      <c r="A10" s="0" t="s">
        <v>162</v>
      </c>
      <c r="B10" s="0" t="n">
        <v>2022</v>
      </c>
      <c r="C10" s="24" t="n">
        <v>46710</v>
      </c>
      <c r="D10" s="9" t="s">
        <v>222</v>
      </c>
      <c r="E10" s="9" t="s">
        <v>223</v>
      </c>
      <c r="F10" s="9" t="s">
        <v>239</v>
      </c>
      <c r="G10" s="9" t="s">
        <v>240</v>
      </c>
      <c r="H10" s="9" t="s">
        <v>241</v>
      </c>
    </row>
    <row r="11" customFormat="false" ht="15" hidden="false" customHeight="false" outlineLevel="0" collapsed="false">
      <c r="A11" s="0" t="s">
        <v>162</v>
      </c>
      <c r="B11" s="0" t="n">
        <v>2023</v>
      </c>
      <c r="C11" s="24" t="n">
        <v>51217</v>
      </c>
      <c r="D11" s="9" t="s">
        <v>222</v>
      </c>
      <c r="E11" s="9" t="s">
        <v>223</v>
      </c>
      <c r="F11" s="9" t="s">
        <v>242</v>
      </c>
      <c r="G11" s="9" t="s">
        <v>243</v>
      </c>
      <c r="H11" s="9" t="s">
        <v>244</v>
      </c>
    </row>
    <row r="12" customFormat="false" ht="15" hidden="false" customHeight="false" outlineLevel="0" collapsed="false">
      <c r="A12" s="0" t="s">
        <v>162</v>
      </c>
      <c r="B12" s="0" t="n">
        <v>2024</v>
      </c>
      <c r="C12" s="24" t="n">
        <v>51362</v>
      </c>
      <c r="D12" s="9" t="s">
        <v>222</v>
      </c>
      <c r="E12" s="9" t="s">
        <v>223</v>
      </c>
      <c r="F12" s="9" t="s">
        <v>245</v>
      </c>
      <c r="G12" s="9" t="s">
        <v>246</v>
      </c>
      <c r="H12" s="9" t="s">
        <v>247</v>
      </c>
    </row>
    <row r="13" customFormat="false" ht="15" hidden="false" customHeight="false" outlineLevel="0" collapsed="false">
      <c r="A13" s="0" t="s">
        <v>162</v>
      </c>
      <c r="B13" s="0" t="n">
        <v>2025</v>
      </c>
      <c r="C13" s="24" t="n">
        <v>46309</v>
      </c>
      <c r="D13" s="9" t="s">
        <v>222</v>
      </c>
      <c r="E13" s="9" t="s">
        <v>223</v>
      </c>
      <c r="F13" s="9" t="s">
        <v>245</v>
      </c>
      <c r="G13" s="9" t="s">
        <v>246</v>
      </c>
      <c r="H13" s="9" t="s">
        <v>248</v>
      </c>
    </row>
    <row r="14" customFormat="false" ht="15" hidden="false" customHeight="false" outlineLevel="0" collapsed="false">
      <c r="A14" s="0" t="s">
        <v>162</v>
      </c>
      <c r="B14" s="0" t="n">
        <v>2026</v>
      </c>
      <c r="C14" s="24" t="n">
        <v>46398</v>
      </c>
      <c r="D14" s="9" t="s">
        <v>222</v>
      </c>
      <c r="E14" s="9" t="s">
        <v>223</v>
      </c>
      <c r="F14" s="9" t="s">
        <v>245</v>
      </c>
      <c r="G14" s="9" t="s">
        <v>246</v>
      </c>
      <c r="H14" s="9" t="s">
        <v>249</v>
      </c>
    </row>
    <row r="15" customFormat="false" ht="15" hidden="false" customHeight="false" outlineLevel="0" collapsed="false">
      <c r="A15" s="0" t="s">
        <v>164</v>
      </c>
      <c r="B15" s="0" t="n">
        <v>2017</v>
      </c>
      <c r="C15" s="24" t="n">
        <v>15312</v>
      </c>
      <c r="D15" s="9" t="s">
        <v>250</v>
      </c>
      <c r="E15" s="9" t="s">
        <v>223</v>
      </c>
      <c r="F15" s="9" t="s">
        <v>224</v>
      </c>
      <c r="G15" s="9" t="s">
        <v>225</v>
      </c>
      <c r="H15" s="9" t="s">
        <v>226</v>
      </c>
    </row>
    <row r="16" customFormat="false" ht="15" hidden="false" customHeight="false" outlineLevel="0" collapsed="false">
      <c r="A16" s="0" t="s">
        <v>164</v>
      </c>
      <c r="B16" s="0" t="n">
        <v>2018</v>
      </c>
      <c r="C16" s="24" t="n">
        <v>15956</v>
      </c>
      <c r="D16" s="9" t="s">
        <v>250</v>
      </c>
      <c r="E16" s="9" t="s">
        <v>223</v>
      </c>
      <c r="F16" s="9" t="s">
        <v>227</v>
      </c>
      <c r="G16" s="9" t="s">
        <v>228</v>
      </c>
      <c r="H16" s="9" t="s">
        <v>229</v>
      </c>
    </row>
    <row r="17" customFormat="false" ht="15" hidden="false" customHeight="false" outlineLevel="0" collapsed="false">
      <c r="A17" s="0" t="s">
        <v>164</v>
      </c>
      <c r="B17" s="0" t="n">
        <v>2019</v>
      </c>
      <c r="C17" s="24" t="n">
        <v>17474</v>
      </c>
      <c r="D17" s="9" t="s">
        <v>250</v>
      </c>
      <c r="E17" s="9" t="s">
        <v>223</v>
      </c>
      <c r="F17" s="9" t="s">
        <v>230</v>
      </c>
      <c r="G17" s="9" t="s">
        <v>231</v>
      </c>
      <c r="H17" s="9" t="s">
        <v>232</v>
      </c>
    </row>
    <row r="18" customFormat="false" ht="15" hidden="false" customHeight="false" outlineLevel="0" collapsed="false">
      <c r="A18" s="0" t="s">
        <v>164</v>
      </c>
      <c r="B18" s="0" t="n">
        <v>2020</v>
      </c>
      <c r="C18" s="24" t="n">
        <v>16241</v>
      </c>
      <c r="D18" s="9" t="s">
        <v>250</v>
      </c>
      <c r="E18" s="9" t="s">
        <v>223</v>
      </c>
      <c r="F18" s="9" t="s">
        <v>233</v>
      </c>
      <c r="G18" s="9" t="s">
        <v>234</v>
      </c>
      <c r="H18" s="9" t="s">
        <v>235</v>
      </c>
    </row>
    <row r="19" customFormat="false" ht="15" hidden="false" customHeight="false" outlineLevel="0" collapsed="false">
      <c r="A19" s="0" t="s">
        <v>164</v>
      </c>
      <c r="B19" s="0" t="n">
        <v>2021</v>
      </c>
      <c r="C19" s="24" t="n">
        <v>19962</v>
      </c>
      <c r="D19" s="9" t="s">
        <v>250</v>
      </c>
      <c r="E19" s="9" t="s">
        <v>223</v>
      </c>
      <c r="F19" s="9" t="s">
        <v>236</v>
      </c>
      <c r="G19" s="9" t="s">
        <v>237</v>
      </c>
      <c r="H19" s="9" t="s">
        <v>238</v>
      </c>
    </row>
    <row r="20" customFormat="false" ht="15" hidden="false" customHeight="false" outlineLevel="0" collapsed="false">
      <c r="A20" s="0" t="s">
        <v>164</v>
      </c>
      <c r="B20" s="0" t="n">
        <v>2022</v>
      </c>
      <c r="C20" s="24" t="n">
        <v>21479</v>
      </c>
      <c r="D20" s="9" t="s">
        <v>250</v>
      </c>
      <c r="E20" s="9" t="s">
        <v>223</v>
      </c>
      <c r="F20" s="9" t="s">
        <v>239</v>
      </c>
      <c r="G20" s="9" t="s">
        <v>240</v>
      </c>
      <c r="H20" s="9" t="s">
        <v>241</v>
      </c>
    </row>
    <row r="21" customFormat="false" ht="15" hidden="false" customHeight="false" outlineLevel="0" collapsed="false">
      <c r="A21" s="0" t="s">
        <v>164</v>
      </c>
      <c r="B21" s="0" t="n">
        <v>2023</v>
      </c>
      <c r="C21" s="24" t="n">
        <v>22292</v>
      </c>
      <c r="D21" s="9" t="s">
        <v>250</v>
      </c>
      <c r="E21" s="9" t="s">
        <v>223</v>
      </c>
      <c r="F21" s="9" t="s">
        <v>242</v>
      </c>
      <c r="G21" s="9" t="s">
        <v>243</v>
      </c>
      <c r="H21" s="9" t="s">
        <v>244</v>
      </c>
    </row>
    <row r="22" customFormat="false" ht="15" hidden="false" customHeight="false" outlineLevel="0" collapsed="false">
      <c r="A22" s="0" t="s">
        <v>164</v>
      </c>
      <c r="B22" s="0" t="n">
        <v>2024</v>
      </c>
      <c r="C22" s="24" t="n">
        <v>22887</v>
      </c>
      <c r="D22" s="9" t="s">
        <v>250</v>
      </c>
      <c r="E22" s="9" t="s">
        <v>223</v>
      </c>
      <c r="F22" s="9" t="s">
        <v>245</v>
      </c>
      <c r="G22" s="9" t="s">
        <v>246</v>
      </c>
      <c r="H22" s="9" t="s">
        <v>247</v>
      </c>
    </row>
    <row r="23" customFormat="false" ht="15" hidden="false" customHeight="false" outlineLevel="0" collapsed="false">
      <c r="A23" s="0" t="s">
        <v>164</v>
      </c>
      <c r="B23" s="0" t="n">
        <v>2025</v>
      </c>
      <c r="C23" s="24" t="n">
        <v>19790</v>
      </c>
      <c r="D23" s="9" t="s">
        <v>250</v>
      </c>
      <c r="E23" s="9" t="s">
        <v>223</v>
      </c>
      <c r="F23" s="9" t="s">
        <v>245</v>
      </c>
      <c r="G23" s="9" t="s">
        <v>246</v>
      </c>
      <c r="H23" s="9" t="s">
        <v>248</v>
      </c>
    </row>
    <row r="24" customFormat="false" ht="15" hidden="false" customHeight="false" outlineLevel="0" collapsed="false">
      <c r="A24" s="0" t="s">
        <v>164</v>
      </c>
      <c r="B24" s="0" t="n">
        <v>2026</v>
      </c>
      <c r="C24" s="24" t="n">
        <v>19911</v>
      </c>
      <c r="D24" s="9" t="s">
        <v>250</v>
      </c>
      <c r="E24" s="9" t="s">
        <v>223</v>
      </c>
      <c r="F24" s="9" t="s">
        <v>245</v>
      </c>
      <c r="G24" s="9" t="s">
        <v>246</v>
      </c>
      <c r="H24" s="9" t="s">
        <v>249</v>
      </c>
    </row>
    <row r="25" customFormat="false" ht="15" hidden="false" customHeight="false" outlineLevel="0" collapsed="false">
      <c r="A25" s="0" t="s">
        <v>165</v>
      </c>
      <c r="B25" s="0" t="n">
        <v>2017</v>
      </c>
      <c r="C25" s="24" t="n">
        <v>10563</v>
      </c>
      <c r="D25" s="9" t="s">
        <v>251</v>
      </c>
      <c r="E25" s="9" t="s">
        <v>223</v>
      </c>
      <c r="F25" s="9" t="s">
        <v>224</v>
      </c>
      <c r="G25" s="9" t="s">
        <v>225</v>
      </c>
      <c r="H25" s="9" t="s">
        <v>226</v>
      </c>
    </row>
    <row r="26" customFormat="false" ht="15" hidden="false" customHeight="false" outlineLevel="0" collapsed="false">
      <c r="A26" s="0" t="s">
        <v>165</v>
      </c>
      <c r="B26" s="0" t="n">
        <v>2018</v>
      </c>
      <c r="C26" s="24" t="n">
        <v>11511</v>
      </c>
      <c r="D26" s="9" t="s">
        <v>251</v>
      </c>
      <c r="E26" s="9" t="s">
        <v>223</v>
      </c>
      <c r="F26" s="9" t="s">
        <v>227</v>
      </c>
      <c r="G26" s="9" t="s">
        <v>228</v>
      </c>
      <c r="H26" s="9" t="s">
        <v>229</v>
      </c>
    </row>
    <row r="27" customFormat="false" ht="15" hidden="false" customHeight="false" outlineLevel="0" collapsed="false">
      <c r="A27" s="0" t="s">
        <v>165</v>
      </c>
      <c r="B27" s="0" t="n">
        <v>2019</v>
      </c>
      <c r="C27" s="24" t="n">
        <v>12702</v>
      </c>
      <c r="D27" s="9" t="s">
        <v>251</v>
      </c>
      <c r="E27" s="9" t="s">
        <v>223</v>
      </c>
      <c r="F27" s="9" t="s">
        <v>230</v>
      </c>
      <c r="G27" s="9" t="s">
        <v>231</v>
      </c>
      <c r="H27" s="9" t="s">
        <v>232</v>
      </c>
    </row>
    <row r="28" customFormat="false" ht="15" hidden="false" customHeight="false" outlineLevel="0" collapsed="false">
      <c r="A28" s="0" t="s">
        <v>165</v>
      </c>
      <c r="B28" s="0" t="n">
        <v>2020</v>
      </c>
      <c r="C28" s="24" t="n">
        <v>13126</v>
      </c>
      <c r="D28" s="9" t="s">
        <v>251</v>
      </c>
      <c r="E28" s="9" t="s">
        <v>223</v>
      </c>
      <c r="F28" s="9" t="s">
        <v>233</v>
      </c>
      <c r="G28" s="9" t="s">
        <v>234</v>
      </c>
      <c r="H28" s="9" t="s">
        <v>235</v>
      </c>
    </row>
    <row r="29" customFormat="false" ht="15" hidden="false" customHeight="false" outlineLevel="0" collapsed="false">
      <c r="A29" s="0" t="s">
        <v>165</v>
      </c>
      <c r="B29" s="0" t="n">
        <v>2021</v>
      </c>
      <c r="C29" s="24" t="n">
        <v>13025</v>
      </c>
      <c r="D29" s="9" t="s">
        <v>251</v>
      </c>
      <c r="E29" s="9" t="s">
        <v>223</v>
      </c>
      <c r="F29" s="9" t="s">
        <v>236</v>
      </c>
      <c r="G29" s="9" t="s">
        <v>237</v>
      </c>
      <c r="H29" s="9" t="s">
        <v>238</v>
      </c>
    </row>
    <row r="30" customFormat="false" ht="15" hidden="false" customHeight="false" outlineLevel="0" collapsed="false">
      <c r="A30" s="0" t="s">
        <v>165</v>
      </c>
      <c r="B30" s="0" t="n">
        <v>2022</v>
      </c>
      <c r="C30" s="24" t="n">
        <v>14804</v>
      </c>
      <c r="D30" s="9" t="s">
        <v>251</v>
      </c>
      <c r="E30" s="9" t="s">
        <v>223</v>
      </c>
      <c r="F30" s="9" t="s">
        <v>239</v>
      </c>
      <c r="G30" s="9" t="s">
        <v>240</v>
      </c>
      <c r="H30" s="9" t="s">
        <v>241</v>
      </c>
    </row>
    <row r="31" customFormat="false" ht="15" hidden="false" customHeight="false" outlineLevel="0" collapsed="false">
      <c r="A31" s="0" t="s">
        <v>165</v>
      </c>
      <c r="B31" s="0" t="n">
        <v>2023</v>
      </c>
      <c r="C31" s="24" t="n">
        <v>16377</v>
      </c>
      <c r="D31" s="9" t="s">
        <v>251</v>
      </c>
      <c r="E31" s="9" t="s">
        <v>223</v>
      </c>
      <c r="F31" s="9" t="s">
        <v>242</v>
      </c>
      <c r="G31" s="9" t="s">
        <v>243</v>
      </c>
      <c r="H31" s="9" t="s">
        <v>244</v>
      </c>
    </row>
    <row r="32" customFormat="false" ht="15" hidden="false" customHeight="false" outlineLevel="0" collapsed="false">
      <c r="A32" s="0" t="s">
        <v>165</v>
      </c>
      <c r="B32" s="0" t="n">
        <v>2024</v>
      </c>
      <c r="C32" s="24" t="n">
        <v>16576</v>
      </c>
      <c r="D32" s="9" t="s">
        <v>251</v>
      </c>
      <c r="E32" s="9" t="s">
        <v>223</v>
      </c>
      <c r="F32" s="9" t="s">
        <v>245</v>
      </c>
      <c r="G32" s="9" t="s">
        <v>246</v>
      </c>
      <c r="H32" s="9" t="s">
        <v>247</v>
      </c>
    </row>
    <row r="33" customFormat="false" ht="15" hidden="false" customHeight="false" outlineLevel="0" collapsed="false">
      <c r="A33" s="0" t="s">
        <v>165</v>
      </c>
      <c r="B33" s="0" t="n">
        <v>2025</v>
      </c>
      <c r="C33" s="24" t="n">
        <v>16088</v>
      </c>
      <c r="D33" s="9" t="s">
        <v>251</v>
      </c>
      <c r="E33" s="9" t="s">
        <v>223</v>
      </c>
      <c r="F33" s="9" t="s">
        <v>245</v>
      </c>
      <c r="G33" s="9" t="s">
        <v>246</v>
      </c>
      <c r="H33" s="9" t="s">
        <v>248</v>
      </c>
    </row>
    <row r="34" customFormat="false" ht="15" hidden="false" customHeight="false" outlineLevel="0" collapsed="false">
      <c r="A34" s="0" t="s">
        <v>165</v>
      </c>
      <c r="B34" s="0" t="n">
        <v>2026</v>
      </c>
      <c r="C34" s="24" t="n">
        <v>16114</v>
      </c>
      <c r="D34" s="9" t="s">
        <v>251</v>
      </c>
      <c r="E34" s="9" t="s">
        <v>223</v>
      </c>
      <c r="F34" s="9" t="s">
        <v>245</v>
      </c>
      <c r="G34" s="9" t="s">
        <v>246</v>
      </c>
      <c r="H34" s="9" t="s">
        <v>249</v>
      </c>
    </row>
    <row r="35" customFormat="false" ht="15" hidden="false" customHeight="false" outlineLevel="0" collapsed="false">
      <c r="A35" s="0" t="s">
        <v>168</v>
      </c>
      <c r="B35" s="0" t="n">
        <v>2017</v>
      </c>
      <c r="C35" s="24" t="n">
        <v>4886</v>
      </c>
      <c r="D35" s="9" t="s">
        <v>252</v>
      </c>
      <c r="E35" s="9" t="s">
        <v>223</v>
      </c>
      <c r="F35" s="9" t="s">
        <v>224</v>
      </c>
      <c r="G35" s="9" t="s">
        <v>225</v>
      </c>
      <c r="H35" s="9" t="s">
        <v>226</v>
      </c>
    </row>
    <row r="36" customFormat="false" ht="15" hidden="false" customHeight="false" outlineLevel="0" collapsed="false">
      <c r="A36" s="0" t="s">
        <v>168</v>
      </c>
      <c r="B36" s="0" t="n">
        <v>2018</v>
      </c>
      <c r="C36" s="24" t="n">
        <v>4325</v>
      </c>
      <c r="D36" s="9" t="s">
        <v>252</v>
      </c>
      <c r="E36" s="9" t="s">
        <v>223</v>
      </c>
      <c r="F36" s="9" t="s">
        <v>227</v>
      </c>
      <c r="G36" s="9" t="s">
        <v>228</v>
      </c>
      <c r="H36" s="9" t="s">
        <v>229</v>
      </c>
    </row>
    <row r="37" customFormat="false" ht="15" hidden="false" customHeight="false" outlineLevel="0" collapsed="false">
      <c r="A37" s="0" t="s">
        <v>168</v>
      </c>
      <c r="B37" s="0" t="n">
        <v>2019</v>
      </c>
      <c r="C37" s="24" t="n">
        <v>4801</v>
      </c>
      <c r="D37" s="9" t="s">
        <v>252</v>
      </c>
      <c r="E37" s="9" t="s">
        <v>223</v>
      </c>
      <c r="F37" s="9" t="s">
        <v>230</v>
      </c>
      <c r="G37" s="9" t="s">
        <v>231</v>
      </c>
      <c r="H37" s="9" t="s">
        <v>232</v>
      </c>
    </row>
    <row r="38" customFormat="false" ht="15" hidden="false" customHeight="false" outlineLevel="0" collapsed="false">
      <c r="A38" s="0" t="s">
        <v>168</v>
      </c>
      <c r="B38" s="0" t="n">
        <v>2020</v>
      </c>
      <c r="C38" s="24" t="n">
        <v>2887</v>
      </c>
      <c r="D38" s="9" t="s">
        <v>253</v>
      </c>
      <c r="E38" s="9" t="s">
        <v>223</v>
      </c>
      <c r="F38" s="9" t="s">
        <v>233</v>
      </c>
      <c r="G38" s="9" t="s">
        <v>234</v>
      </c>
      <c r="H38" s="9" t="s">
        <v>235</v>
      </c>
    </row>
    <row r="39" customFormat="false" ht="15" hidden="false" customHeight="false" outlineLevel="0" collapsed="false">
      <c r="A39" s="0" t="s">
        <v>168</v>
      </c>
      <c r="B39" s="0" t="n">
        <v>2021</v>
      </c>
      <c r="C39" s="24" t="n">
        <v>6661</v>
      </c>
      <c r="D39" s="9" t="s">
        <v>253</v>
      </c>
      <c r="E39" s="9" t="s">
        <v>223</v>
      </c>
      <c r="F39" s="9" t="s">
        <v>236</v>
      </c>
      <c r="G39" s="9" t="s">
        <v>237</v>
      </c>
      <c r="H39" s="9" t="s">
        <v>238</v>
      </c>
    </row>
    <row r="40" customFormat="false" ht="15" hidden="false" customHeight="false" outlineLevel="0" collapsed="false">
      <c r="A40" s="0" t="s">
        <v>168</v>
      </c>
      <c r="B40" s="0" t="n">
        <v>2022</v>
      </c>
      <c r="C40" s="24" t="n">
        <v>6651</v>
      </c>
      <c r="D40" s="9" t="s">
        <v>253</v>
      </c>
      <c r="E40" s="9" t="s">
        <v>223</v>
      </c>
      <c r="F40" s="9" t="s">
        <v>239</v>
      </c>
      <c r="G40" s="9" t="s">
        <v>240</v>
      </c>
      <c r="H40" s="9" t="s">
        <v>241</v>
      </c>
    </row>
    <row r="41" customFormat="false" ht="15" hidden="false" customHeight="false" outlineLevel="0" collapsed="false">
      <c r="A41" s="0" t="s">
        <v>168</v>
      </c>
      <c r="B41" s="0" t="n">
        <v>2023</v>
      </c>
      <c r="C41" s="24" t="n">
        <v>6201</v>
      </c>
      <c r="D41" s="9" t="s">
        <v>253</v>
      </c>
      <c r="E41" s="9" t="s">
        <v>223</v>
      </c>
      <c r="F41" s="9" t="s">
        <v>242</v>
      </c>
      <c r="G41" s="9" t="s">
        <v>243</v>
      </c>
      <c r="H41" s="9" t="s">
        <v>244</v>
      </c>
    </row>
    <row r="42" customFormat="false" ht="15" hidden="false" customHeight="false" outlineLevel="0" collapsed="false">
      <c r="A42" s="0" t="s">
        <v>168</v>
      </c>
      <c r="B42" s="0" t="n">
        <v>2024</v>
      </c>
      <c r="C42" s="24" t="n">
        <v>6700</v>
      </c>
      <c r="D42" s="9" t="s">
        <v>253</v>
      </c>
      <c r="E42" s="9" t="s">
        <v>223</v>
      </c>
      <c r="F42" s="9" t="s">
        <v>245</v>
      </c>
      <c r="G42" s="9" t="s">
        <v>246</v>
      </c>
      <c r="H42" s="9" t="s">
        <v>247</v>
      </c>
    </row>
    <row r="43" customFormat="false" ht="15" hidden="false" customHeight="false" outlineLevel="0" collapsed="false">
      <c r="A43" s="0" t="s">
        <v>168</v>
      </c>
      <c r="B43" s="0" t="n">
        <v>2025</v>
      </c>
      <c r="C43" s="24" t="n">
        <v>3885</v>
      </c>
      <c r="D43" s="9" t="s">
        <v>253</v>
      </c>
      <c r="E43" s="9" t="s">
        <v>223</v>
      </c>
      <c r="F43" s="9" t="s">
        <v>245</v>
      </c>
      <c r="G43" s="9" t="s">
        <v>246</v>
      </c>
      <c r="H43" s="9" t="s">
        <v>248</v>
      </c>
    </row>
    <row r="44" customFormat="false" ht="15" hidden="false" customHeight="false" outlineLevel="0" collapsed="false">
      <c r="A44" s="0" t="s">
        <v>168</v>
      </c>
      <c r="B44" s="0" t="n">
        <v>2026</v>
      </c>
      <c r="C44" s="24" t="n">
        <v>3900</v>
      </c>
      <c r="D44" s="9" t="s">
        <v>253</v>
      </c>
      <c r="E44" s="9" t="s">
        <v>223</v>
      </c>
      <c r="F44" s="9" t="s">
        <v>245</v>
      </c>
      <c r="G44" s="9" t="s">
        <v>246</v>
      </c>
      <c r="H44" s="9" t="s">
        <v>249</v>
      </c>
    </row>
    <row r="45" customFormat="false" ht="15" hidden="false" customHeight="false" outlineLevel="0" collapsed="false">
      <c r="A45" s="0" t="s">
        <v>170</v>
      </c>
      <c r="B45" s="0" t="n">
        <v>2017</v>
      </c>
      <c r="C45" s="24" t="n">
        <v>4240</v>
      </c>
      <c r="D45" s="9" t="s">
        <v>254</v>
      </c>
      <c r="E45" s="9" t="s">
        <v>223</v>
      </c>
      <c r="F45" s="9" t="s">
        <v>224</v>
      </c>
      <c r="G45" s="9" t="s">
        <v>225</v>
      </c>
      <c r="H45" s="9" t="s">
        <v>226</v>
      </c>
    </row>
    <row r="46" customFormat="false" ht="15" hidden="false" customHeight="false" outlineLevel="0" collapsed="false">
      <c r="A46" s="0" t="s">
        <v>170</v>
      </c>
      <c r="B46" s="0" t="n">
        <v>2018</v>
      </c>
      <c r="C46" s="24" t="n">
        <v>1933</v>
      </c>
      <c r="D46" s="9" t="s">
        <v>254</v>
      </c>
      <c r="E46" s="9" t="s">
        <v>223</v>
      </c>
      <c r="F46" s="9" t="s">
        <v>227</v>
      </c>
      <c r="G46" s="9" t="s">
        <v>228</v>
      </c>
      <c r="H46" s="9" t="s">
        <v>229</v>
      </c>
    </row>
    <row r="47" customFormat="false" ht="15" hidden="false" customHeight="false" outlineLevel="0" collapsed="false">
      <c r="A47" s="0" t="s">
        <v>170</v>
      </c>
      <c r="B47" s="0" t="n">
        <v>2019</v>
      </c>
      <c r="C47" s="24" t="n">
        <v>4029</v>
      </c>
      <c r="D47" s="9" t="s">
        <v>254</v>
      </c>
      <c r="E47" s="9" t="s">
        <v>223</v>
      </c>
      <c r="F47" s="9" t="s">
        <v>230</v>
      </c>
      <c r="G47" s="9" t="s">
        <v>231</v>
      </c>
      <c r="H47" s="9" t="s">
        <v>232</v>
      </c>
    </row>
    <row r="48" customFormat="false" ht="15" hidden="false" customHeight="false" outlineLevel="0" collapsed="false">
      <c r="A48" s="0" t="s">
        <v>170</v>
      </c>
      <c r="B48" s="0" t="n">
        <v>2020</v>
      </c>
      <c r="C48" s="24" t="n">
        <v>2539</v>
      </c>
      <c r="D48" s="9" t="s">
        <v>254</v>
      </c>
      <c r="E48" s="9" t="s">
        <v>223</v>
      </c>
      <c r="F48" s="9" t="s">
        <v>233</v>
      </c>
      <c r="G48" s="9" t="s">
        <v>234</v>
      </c>
      <c r="H48" s="9" t="s">
        <v>235</v>
      </c>
    </row>
    <row r="49" customFormat="false" ht="15" hidden="false" customHeight="false" outlineLevel="0" collapsed="false">
      <c r="A49" s="0" t="s">
        <v>170</v>
      </c>
      <c r="B49" s="0" t="n">
        <v>2021</v>
      </c>
      <c r="C49" s="24" t="n">
        <v>5727</v>
      </c>
      <c r="D49" s="9" t="s">
        <v>254</v>
      </c>
      <c r="E49" s="9" t="s">
        <v>223</v>
      </c>
      <c r="F49" s="9" t="s">
        <v>236</v>
      </c>
      <c r="G49" s="9" t="s">
        <v>237</v>
      </c>
      <c r="H49" s="9" t="s">
        <v>238</v>
      </c>
    </row>
    <row r="50" customFormat="false" ht="15" hidden="false" customHeight="false" outlineLevel="0" collapsed="false">
      <c r="A50" s="0" t="s">
        <v>170</v>
      </c>
      <c r="B50" s="0" t="n">
        <v>2022</v>
      </c>
      <c r="C50" s="24" t="n">
        <v>6046</v>
      </c>
      <c r="D50" s="9" t="s">
        <v>254</v>
      </c>
      <c r="E50" s="9" t="s">
        <v>223</v>
      </c>
      <c r="F50" s="9" t="s">
        <v>239</v>
      </c>
      <c r="G50" s="9" t="s">
        <v>240</v>
      </c>
      <c r="H50" s="9" t="s">
        <v>241</v>
      </c>
    </row>
    <row r="51" customFormat="false" ht="15" hidden="false" customHeight="false" outlineLevel="0" collapsed="false">
      <c r="A51" s="0" t="s">
        <v>170</v>
      </c>
      <c r="B51" s="0" t="n">
        <v>2023</v>
      </c>
      <c r="C51" s="24" t="n">
        <v>5070</v>
      </c>
      <c r="D51" s="9" t="s">
        <v>254</v>
      </c>
      <c r="E51" s="9" t="s">
        <v>223</v>
      </c>
      <c r="F51" s="9" t="s">
        <v>242</v>
      </c>
      <c r="G51" s="9" t="s">
        <v>243</v>
      </c>
      <c r="H51" s="9" t="s">
        <v>244</v>
      </c>
    </row>
    <row r="52" customFormat="false" ht="15" hidden="false" customHeight="false" outlineLevel="0" collapsed="false">
      <c r="A52" s="0" t="s">
        <v>170</v>
      </c>
      <c r="B52" s="0" t="n">
        <v>2024</v>
      </c>
      <c r="C52" s="24" t="n">
        <v>5700</v>
      </c>
      <c r="D52" s="9" t="s">
        <v>254</v>
      </c>
      <c r="E52" s="9" t="s">
        <v>223</v>
      </c>
      <c r="F52" s="9" t="s">
        <v>245</v>
      </c>
      <c r="G52" s="9" t="s">
        <v>246</v>
      </c>
      <c r="H52" s="9" t="s">
        <v>247</v>
      </c>
    </row>
    <row r="53" customFormat="false" ht="15" hidden="false" customHeight="false" outlineLevel="0" collapsed="false">
      <c r="A53" s="0" t="s">
        <v>170</v>
      </c>
      <c r="B53" s="0" t="n">
        <v>2025</v>
      </c>
      <c r="C53" s="24" t="n">
        <v>3219</v>
      </c>
      <c r="D53" s="9" t="s">
        <v>254</v>
      </c>
      <c r="E53" s="9" t="s">
        <v>223</v>
      </c>
      <c r="F53" s="9" t="s">
        <v>245</v>
      </c>
      <c r="G53" s="9" t="s">
        <v>246</v>
      </c>
      <c r="H53" s="9" t="s">
        <v>248</v>
      </c>
    </row>
    <row r="54" customFormat="false" ht="15" hidden="false" customHeight="false" outlineLevel="0" collapsed="false">
      <c r="A54" s="0" t="s">
        <v>170</v>
      </c>
      <c r="B54" s="0" t="n">
        <v>2026</v>
      </c>
      <c r="C54" s="24" t="n">
        <v>3108</v>
      </c>
      <c r="D54" s="9" t="s">
        <v>254</v>
      </c>
      <c r="E54" s="9" t="s">
        <v>223</v>
      </c>
      <c r="F54" s="9" t="s">
        <v>245</v>
      </c>
      <c r="G54" s="9" t="s">
        <v>246</v>
      </c>
      <c r="H54" s="9" t="s">
        <v>249</v>
      </c>
    </row>
    <row r="55" customFormat="false" ht="15" hidden="false" customHeight="false" outlineLevel="0" collapsed="false">
      <c r="A55" s="0" t="s">
        <v>173</v>
      </c>
      <c r="B55" s="0" t="n">
        <v>2017</v>
      </c>
      <c r="C55" s="24" t="n">
        <v>706</v>
      </c>
      <c r="D55" s="9" t="s">
        <v>255</v>
      </c>
      <c r="E55" s="9" t="s">
        <v>223</v>
      </c>
      <c r="F55" s="9" t="s">
        <v>224</v>
      </c>
      <c r="G55" s="9" t="s">
        <v>225</v>
      </c>
      <c r="H55" s="9" t="s">
        <v>226</v>
      </c>
    </row>
    <row r="56" customFormat="false" ht="15" hidden="false" customHeight="false" outlineLevel="0" collapsed="false">
      <c r="A56" s="0" t="s">
        <v>173</v>
      </c>
      <c r="B56" s="0" t="n">
        <v>2018</v>
      </c>
      <c r="C56" s="24" t="n">
        <v>747</v>
      </c>
      <c r="D56" s="9" t="s">
        <v>255</v>
      </c>
      <c r="E56" s="9" t="s">
        <v>223</v>
      </c>
      <c r="F56" s="9" t="s">
        <v>227</v>
      </c>
      <c r="G56" s="9" t="s">
        <v>228</v>
      </c>
      <c r="H56" s="9" t="s">
        <v>229</v>
      </c>
    </row>
    <row r="57" customFormat="false" ht="15" hidden="false" customHeight="false" outlineLevel="0" collapsed="false">
      <c r="A57" s="0" t="s">
        <v>173</v>
      </c>
      <c r="B57" s="0" t="n">
        <v>2019</v>
      </c>
      <c r="C57" s="24" t="n">
        <v>705</v>
      </c>
      <c r="D57" s="9" t="s">
        <v>255</v>
      </c>
      <c r="E57" s="9" t="s">
        <v>223</v>
      </c>
      <c r="F57" s="9" t="s">
        <v>230</v>
      </c>
      <c r="G57" s="9" t="s">
        <v>231</v>
      </c>
      <c r="H57" s="9" t="s">
        <v>232</v>
      </c>
    </row>
    <row r="58" customFormat="false" ht="15" hidden="false" customHeight="false" outlineLevel="0" collapsed="false">
      <c r="A58" s="0" t="s">
        <v>173</v>
      </c>
      <c r="B58" s="0" t="n">
        <v>2020</v>
      </c>
      <c r="C58" s="24" t="n">
        <v>721</v>
      </c>
      <c r="D58" s="9" t="s">
        <v>255</v>
      </c>
      <c r="E58" s="9" t="s">
        <v>223</v>
      </c>
      <c r="F58" s="9" t="s">
        <v>233</v>
      </c>
      <c r="G58" s="9" t="s">
        <v>234</v>
      </c>
      <c r="H58" s="9" t="s">
        <v>235</v>
      </c>
    </row>
    <row r="59" customFormat="false" ht="15" hidden="false" customHeight="false" outlineLevel="0" collapsed="false">
      <c r="A59" s="0" t="s">
        <v>173</v>
      </c>
      <c r="B59" s="0" t="n">
        <v>2021</v>
      </c>
      <c r="C59" s="24" t="n">
        <v>744</v>
      </c>
      <c r="D59" s="9" t="s">
        <v>255</v>
      </c>
      <c r="E59" s="9" t="s">
        <v>223</v>
      </c>
      <c r="F59" s="9" t="s">
        <v>236</v>
      </c>
      <c r="G59" s="9" t="s">
        <v>237</v>
      </c>
      <c r="H59" s="9" t="s">
        <v>238</v>
      </c>
    </row>
    <row r="60" customFormat="false" ht="15" hidden="false" customHeight="false" outlineLevel="0" collapsed="false">
      <c r="A60" s="0" t="s">
        <v>173</v>
      </c>
      <c r="B60" s="0" t="n">
        <v>2022</v>
      </c>
      <c r="C60" s="24" t="n">
        <v>717</v>
      </c>
      <c r="D60" s="9" t="s">
        <v>255</v>
      </c>
      <c r="E60" s="9" t="s">
        <v>223</v>
      </c>
      <c r="F60" s="9" t="s">
        <v>239</v>
      </c>
      <c r="G60" s="9" t="s">
        <v>240</v>
      </c>
      <c r="H60" s="9" t="s">
        <v>241</v>
      </c>
    </row>
    <row r="61" customFormat="false" ht="15" hidden="false" customHeight="false" outlineLevel="0" collapsed="false">
      <c r="A61" s="0" t="s">
        <v>173</v>
      </c>
      <c r="B61" s="0" t="n">
        <v>2023</v>
      </c>
      <c r="C61" s="24" t="n">
        <v>703</v>
      </c>
      <c r="D61" s="9" t="s">
        <v>256</v>
      </c>
      <c r="E61" s="9" t="s">
        <v>223</v>
      </c>
      <c r="F61" s="9" t="s">
        <v>242</v>
      </c>
      <c r="G61" s="9" t="s">
        <v>243</v>
      </c>
      <c r="H61" s="9" t="s">
        <v>244</v>
      </c>
    </row>
    <row r="62" customFormat="false" ht="15" hidden="false" customHeight="false" outlineLevel="0" collapsed="false">
      <c r="A62" s="0" t="s">
        <v>173</v>
      </c>
      <c r="B62" s="0" t="n">
        <v>2024</v>
      </c>
      <c r="C62" s="24" t="n">
        <v>796</v>
      </c>
      <c r="D62" s="9" t="s">
        <v>256</v>
      </c>
      <c r="E62" s="9" t="s">
        <v>223</v>
      </c>
      <c r="F62" s="9" t="s">
        <v>245</v>
      </c>
      <c r="G62" s="9" t="s">
        <v>246</v>
      </c>
      <c r="H62" s="9" t="s">
        <v>247</v>
      </c>
    </row>
    <row r="63" customFormat="false" ht="15" hidden="false" customHeight="false" outlineLevel="0" collapsed="false">
      <c r="A63" s="0" t="s">
        <v>173</v>
      </c>
      <c r="B63" s="0" t="n">
        <v>2025</v>
      </c>
      <c r="C63" s="24" t="n">
        <v>775</v>
      </c>
      <c r="D63" s="9" t="s">
        <v>256</v>
      </c>
      <c r="E63" s="9" t="s">
        <v>223</v>
      </c>
      <c r="F63" s="9" t="s">
        <v>245</v>
      </c>
      <c r="G63" s="9" t="s">
        <v>246</v>
      </c>
      <c r="H63" s="9" t="s">
        <v>248</v>
      </c>
    </row>
    <row r="64" customFormat="false" ht="15" hidden="false" customHeight="false" outlineLevel="0" collapsed="false">
      <c r="A64" s="0" t="s">
        <v>173</v>
      </c>
      <c r="B64" s="0" t="n">
        <v>2026</v>
      </c>
      <c r="C64" s="24" t="n">
        <v>747</v>
      </c>
      <c r="D64" s="9" t="s">
        <v>256</v>
      </c>
      <c r="E64" s="9" t="s">
        <v>223</v>
      </c>
      <c r="F64" s="9" t="s">
        <v>245</v>
      </c>
      <c r="G64" s="9" t="s">
        <v>246</v>
      </c>
      <c r="H64" s="9" t="s">
        <v>249</v>
      </c>
    </row>
    <row r="65" customFormat="false" ht="15" hidden="false" customHeight="false" outlineLevel="0" collapsed="false">
      <c r="A65" s="0" t="s">
        <v>174</v>
      </c>
      <c r="B65" s="0" t="n">
        <v>2017</v>
      </c>
      <c r="C65" s="24" t="n">
        <v>1105</v>
      </c>
      <c r="D65" s="9" t="s">
        <v>257</v>
      </c>
      <c r="E65" s="9" t="s">
        <v>223</v>
      </c>
      <c r="F65" s="9" t="s">
        <v>224</v>
      </c>
      <c r="G65" s="9" t="s">
        <v>225</v>
      </c>
      <c r="H65" s="9" t="s">
        <v>226</v>
      </c>
    </row>
    <row r="66" customFormat="false" ht="15" hidden="false" customHeight="false" outlineLevel="0" collapsed="false">
      <c r="A66" s="0" t="s">
        <v>174</v>
      </c>
      <c r="B66" s="0" t="n">
        <v>2018</v>
      </c>
      <c r="C66" s="24" t="n">
        <v>1028</v>
      </c>
      <c r="D66" s="9" t="s">
        <v>257</v>
      </c>
      <c r="E66" s="9" t="s">
        <v>223</v>
      </c>
      <c r="F66" s="9" t="s">
        <v>227</v>
      </c>
      <c r="G66" s="9" t="s">
        <v>228</v>
      </c>
      <c r="H66" s="9" t="s">
        <v>229</v>
      </c>
    </row>
    <row r="67" customFormat="false" ht="15" hidden="false" customHeight="false" outlineLevel="0" collapsed="false">
      <c r="A67" s="0" t="s">
        <v>174</v>
      </c>
      <c r="B67" s="0" t="n">
        <v>2019</v>
      </c>
      <c r="C67" s="24" t="n">
        <v>1119</v>
      </c>
      <c r="D67" s="9" t="s">
        <v>257</v>
      </c>
      <c r="E67" s="9" t="s">
        <v>223</v>
      </c>
      <c r="F67" s="9" t="s">
        <v>230</v>
      </c>
      <c r="G67" s="9" t="s">
        <v>231</v>
      </c>
      <c r="H67" s="9" t="s">
        <v>232</v>
      </c>
    </row>
    <row r="68" customFormat="false" ht="15" hidden="false" customHeight="false" outlineLevel="0" collapsed="false">
      <c r="A68" s="0" t="s">
        <v>174</v>
      </c>
      <c r="B68" s="0" t="n">
        <v>2020</v>
      </c>
      <c r="C68" s="24" t="n">
        <v>1086</v>
      </c>
      <c r="D68" s="9" t="s">
        <v>257</v>
      </c>
      <c r="E68" s="9" t="s">
        <v>223</v>
      </c>
      <c r="F68" s="9" t="s">
        <v>233</v>
      </c>
      <c r="G68" s="9" t="s">
        <v>234</v>
      </c>
      <c r="H68" s="9" t="s">
        <v>235</v>
      </c>
    </row>
    <row r="69" customFormat="false" ht="15" hidden="false" customHeight="false" outlineLevel="0" collapsed="false">
      <c r="A69" s="0" t="s">
        <v>174</v>
      </c>
      <c r="B69" s="0" t="n">
        <v>2021</v>
      </c>
      <c r="C69" s="24" t="n">
        <v>695</v>
      </c>
      <c r="D69" s="9" t="s">
        <v>257</v>
      </c>
      <c r="E69" s="9" t="s">
        <v>223</v>
      </c>
      <c r="F69" s="9" t="s">
        <v>236</v>
      </c>
      <c r="G69" s="9" t="s">
        <v>237</v>
      </c>
      <c r="H69" s="9" t="s">
        <v>238</v>
      </c>
    </row>
    <row r="70" customFormat="false" ht="15" hidden="false" customHeight="false" outlineLevel="0" collapsed="false">
      <c r="A70" s="0" t="s">
        <v>174</v>
      </c>
      <c r="B70" s="0" t="n">
        <v>2022</v>
      </c>
      <c r="C70" s="24" t="n">
        <v>758</v>
      </c>
      <c r="D70" s="9" t="s">
        <v>257</v>
      </c>
      <c r="E70" s="9" t="s">
        <v>223</v>
      </c>
      <c r="F70" s="9" t="s">
        <v>239</v>
      </c>
      <c r="G70" s="9" t="s">
        <v>240</v>
      </c>
      <c r="H70" s="9" t="s">
        <v>241</v>
      </c>
    </row>
    <row r="71" customFormat="false" ht="15" hidden="false" customHeight="false" outlineLevel="0" collapsed="false">
      <c r="A71" s="0" t="s">
        <v>174</v>
      </c>
      <c r="B71" s="0" t="n">
        <v>2023</v>
      </c>
      <c r="C71" s="24" t="n">
        <v>969</v>
      </c>
      <c r="D71" s="9" t="s">
        <v>257</v>
      </c>
      <c r="E71" s="9" t="s">
        <v>223</v>
      </c>
      <c r="F71" s="9" t="s">
        <v>242</v>
      </c>
      <c r="G71" s="9" t="s">
        <v>243</v>
      </c>
      <c r="H71" s="9" t="s">
        <v>244</v>
      </c>
    </row>
    <row r="72" customFormat="false" ht="15" hidden="false" customHeight="false" outlineLevel="0" collapsed="false">
      <c r="A72" s="0" t="s">
        <v>174</v>
      </c>
      <c r="B72" s="0" t="n">
        <v>2024</v>
      </c>
      <c r="C72" s="24" t="n">
        <v>812</v>
      </c>
      <c r="D72" s="9" t="s">
        <v>257</v>
      </c>
      <c r="E72" s="9" t="s">
        <v>223</v>
      </c>
      <c r="F72" s="9" t="s">
        <v>245</v>
      </c>
      <c r="G72" s="9" t="s">
        <v>246</v>
      </c>
      <c r="H72" s="9" t="s">
        <v>247</v>
      </c>
    </row>
    <row r="73" customFormat="false" ht="15" hidden="false" customHeight="false" outlineLevel="0" collapsed="false">
      <c r="A73" s="0" t="s">
        <v>174</v>
      </c>
      <c r="B73" s="0" t="n">
        <v>2025</v>
      </c>
      <c r="C73" s="24" t="n">
        <v>430</v>
      </c>
      <c r="D73" s="9" t="s">
        <v>257</v>
      </c>
      <c r="E73" s="9" t="s">
        <v>223</v>
      </c>
      <c r="F73" s="9" t="s">
        <v>245</v>
      </c>
      <c r="G73" s="9" t="s">
        <v>246</v>
      </c>
      <c r="H73" s="9" t="s">
        <v>248</v>
      </c>
    </row>
    <row r="74" customFormat="false" ht="15" hidden="false" customHeight="false" outlineLevel="0" collapsed="false">
      <c r="A74" s="0" t="s">
        <v>174</v>
      </c>
      <c r="B74" s="0" t="n">
        <v>2026</v>
      </c>
      <c r="C74" s="24" t="n">
        <v>684</v>
      </c>
      <c r="D74" s="9" t="s">
        <v>257</v>
      </c>
      <c r="E74" s="9" t="s">
        <v>223</v>
      </c>
      <c r="F74" s="9" t="s">
        <v>245</v>
      </c>
      <c r="G74" s="9" t="s">
        <v>246</v>
      </c>
      <c r="H74" s="9" t="s">
        <v>249</v>
      </c>
    </row>
    <row r="75" customFormat="false" ht="15" hidden="false" customHeight="false" outlineLevel="0" collapsed="false">
      <c r="A75" s="0" t="s">
        <v>172</v>
      </c>
      <c r="B75" s="0" t="n">
        <v>2017</v>
      </c>
      <c r="C75" s="24" t="n">
        <v>3846</v>
      </c>
      <c r="D75" s="9" t="s">
        <v>258</v>
      </c>
      <c r="E75" s="9" t="s">
        <v>223</v>
      </c>
      <c r="F75" s="9" t="s">
        <v>224</v>
      </c>
      <c r="G75" s="9" t="s">
        <v>225</v>
      </c>
      <c r="H75" s="9" t="s">
        <v>226</v>
      </c>
    </row>
    <row r="76" customFormat="false" ht="15" hidden="false" customHeight="false" outlineLevel="0" collapsed="false">
      <c r="A76" s="0" t="s">
        <v>172</v>
      </c>
      <c r="B76" s="0" t="n">
        <v>2018</v>
      </c>
      <c r="C76" s="24" t="n">
        <v>4955</v>
      </c>
      <c r="D76" s="9" t="s">
        <v>258</v>
      </c>
      <c r="E76" s="9" t="s">
        <v>223</v>
      </c>
      <c r="F76" s="9" t="s">
        <v>227</v>
      </c>
      <c r="G76" s="9" t="s">
        <v>228</v>
      </c>
      <c r="H76" s="9" t="s">
        <v>229</v>
      </c>
    </row>
    <row r="77" customFormat="false" ht="15" hidden="false" customHeight="false" outlineLevel="0" collapsed="false">
      <c r="A77" s="0" t="s">
        <v>172</v>
      </c>
      <c r="B77" s="0" t="n">
        <v>2019</v>
      </c>
      <c r="C77" s="24" t="n">
        <v>5903</v>
      </c>
      <c r="D77" s="9" t="s">
        <v>258</v>
      </c>
      <c r="E77" s="9" t="s">
        <v>223</v>
      </c>
      <c r="F77" s="9" t="s">
        <v>230</v>
      </c>
      <c r="G77" s="9" t="s">
        <v>231</v>
      </c>
      <c r="H77" s="9" t="s">
        <v>232</v>
      </c>
    </row>
    <row r="78" customFormat="false" ht="15" hidden="false" customHeight="false" outlineLevel="0" collapsed="false">
      <c r="A78" s="0" t="s">
        <v>172</v>
      </c>
      <c r="B78" s="0" t="n">
        <v>2020</v>
      </c>
      <c r="C78" s="24" t="n">
        <v>2485</v>
      </c>
      <c r="D78" s="9" t="s">
        <v>258</v>
      </c>
      <c r="E78" s="9" t="s">
        <v>223</v>
      </c>
      <c r="F78" s="9" t="s">
        <v>233</v>
      </c>
      <c r="G78" s="9" t="s">
        <v>234</v>
      </c>
      <c r="H78" s="9" t="s">
        <v>235</v>
      </c>
    </row>
    <row r="79" customFormat="false" ht="15" hidden="false" customHeight="false" outlineLevel="0" collapsed="false">
      <c r="A79" s="0" t="s">
        <v>172</v>
      </c>
      <c r="B79" s="0" t="n">
        <v>2021</v>
      </c>
      <c r="C79" s="24" t="n">
        <v>6657</v>
      </c>
      <c r="D79" s="9" t="s">
        <v>258</v>
      </c>
      <c r="E79" s="9" t="s">
        <v>223</v>
      </c>
      <c r="F79" s="9" t="s">
        <v>236</v>
      </c>
      <c r="G79" s="9" t="s">
        <v>237</v>
      </c>
      <c r="H79" s="9" t="s">
        <v>238</v>
      </c>
    </row>
    <row r="80" customFormat="false" ht="15" hidden="false" customHeight="false" outlineLevel="0" collapsed="false">
      <c r="A80" s="0" t="s">
        <v>172</v>
      </c>
      <c r="B80" s="0" t="n">
        <v>2022</v>
      </c>
      <c r="C80" s="24" t="n">
        <v>5188</v>
      </c>
      <c r="D80" s="9" t="s">
        <v>258</v>
      </c>
      <c r="E80" s="9" t="s">
        <v>223</v>
      </c>
      <c r="F80" s="9" t="s">
        <v>239</v>
      </c>
      <c r="G80" s="9" t="s">
        <v>240</v>
      </c>
      <c r="H80" s="9" t="s">
        <v>241</v>
      </c>
    </row>
    <row r="81" customFormat="false" ht="15" hidden="false" customHeight="false" outlineLevel="0" collapsed="false">
      <c r="A81" s="0" t="s">
        <v>172</v>
      </c>
      <c r="B81" s="0" t="n">
        <v>2023</v>
      </c>
      <c r="C81" s="24" t="n">
        <v>5841</v>
      </c>
      <c r="D81" s="9" t="s">
        <v>258</v>
      </c>
      <c r="E81" s="9" t="s">
        <v>223</v>
      </c>
      <c r="F81" s="9" t="s">
        <v>242</v>
      </c>
      <c r="G81" s="9" t="s">
        <v>243</v>
      </c>
      <c r="H81" s="9" t="s">
        <v>244</v>
      </c>
    </row>
    <row r="82" customFormat="false" ht="15" hidden="false" customHeight="false" outlineLevel="0" collapsed="false">
      <c r="A82" s="0" t="s">
        <v>172</v>
      </c>
      <c r="B82" s="0" t="n">
        <v>2024</v>
      </c>
      <c r="C82" s="24" t="n">
        <v>7429</v>
      </c>
      <c r="D82" s="9" t="s">
        <v>258</v>
      </c>
      <c r="E82" s="9" t="s">
        <v>223</v>
      </c>
      <c r="F82" s="9" t="s">
        <v>245</v>
      </c>
      <c r="G82" s="9" t="s">
        <v>246</v>
      </c>
      <c r="H82" s="9" t="s">
        <v>247</v>
      </c>
    </row>
    <row r="83" customFormat="false" ht="15" hidden="false" customHeight="false" outlineLevel="0" collapsed="false">
      <c r="A83" s="0" t="s">
        <v>172</v>
      </c>
      <c r="B83" s="0" t="n">
        <v>2025</v>
      </c>
      <c r="C83" s="24" t="n">
        <v>3698</v>
      </c>
      <c r="D83" s="9" t="s">
        <v>258</v>
      </c>
      <c r="E83" s="9" t="s">
        <v>223</v>
      </c>
      <c r="F83" s="9" t="s">
        <v>245</v>
      </c>
      <c r="G83" s="9" t="s">
        <v>246</v>
      </c>
      <c r="H83" s="9" t="s">
        <v>248</v>
      </c>
    </row>
    <row r="84" customFormat="false" ht="15" hidden="false" customHeight="false" outlineLevel="0" collapsed="false">
      <c r="A84" s="0" t="s">
        <v>172</v>
      </c>
      <c r="B84" s="0" t="n">
        <v>2026</v>
      </c>
      <c r="C84" s="24" t="n">
        <v>2868</v>
      </c>
      <c r="D84" s="9" t="s">
        <v>258</v>
      </c>
      <c r="E84" s="9" t="s">
        <v>223</v>
      </c>
      <c r="F84" s="9" t="s">
        <v>245</v>
      </c>
      <c r="G84" s="9" t="s">
        <v>246</v>
      </c>
      <c r="H84" s="9" t="s">
        <v>249</v>
      </c>
    </row>
    <row r="85" customFormat="false" ht="15" hidden="false" customHeight="false" outlineLevel="0" collapsed="false">
      <c r="A85" s="0" t="s">
        <v>185</v>
      </c>
      <c r="B85" s="0" t="n">
        <v>2017</v>
      </c>
      <c r="C85" s="24" t="n">
        <v>3471</v>
      </c>
      <c r="D85" s="9" t="s">
        <v>259</v>
      </c>
      <c r="E85" s="9" t="s">
        <v>223</v>
      </c>
      <c r="F85" s="9" t="s">
        <v>260</v>
      </c>
      <c r="G85" s="9" t="s">
        <v>261</v>
      </c>
      <c r="H85" s="9" t="s">
        <v>226</v>
      </c>
    </row>
    <row r="86" customFormat="false" ht="15" hidden="false" customHeight="false" outlineLevel="0" collapsed="false">
      <c r="A86" s="0" t="s">
        <v>185</v>
      </c>
      <c r="B86" s="0" t="n">
        <v>2018</v>
      </c>
      <c r="C86" s="24" t="n">
        <v>3468</v>
      </c>
      <c r="D86" s="9" t="s">
        <v>259</v>
      </c>
      <c r="E86" s="9" t="s">
        <v>223</v>
      </c>
      <c r="F86" s="9" t="s">
        <v>224</v>
      </c>
      <c r="G86" s="9" t="s">
        <v>225</v>
      </c>
      <c r="H86" s="9" t="s">
        <v>229</v>
      </c>
    </row>
    <row r="87" customFormat="false" ht="15" hidden="false" customHeight="false" outlineLevel="0" collapsed="false">
      <c r="A87" s="0" t="s">
        <v>185</v>
      </c>
      <c r="B87" s="0" t="n">
        <v>2019</v>
      </c>
      <c r="C87" s="24" t="n">
        <v>3464</v>
      </c>
      <c r="D87" s="9" t="s">
        <v>259</v>
      </c>
      <c r="E87" s="9" t="s">
        <v>223</v>
      </c>
      <c r="F87" s="9" t="s">
        <v>227</v>
      </c>
      <c r="G87" s="9" t="s">
        <v>228</v>
      </c>
      <c r="H87" s="9" t="s">
        <v>232</v>
      </c>
    </row>
    <row r="88" customFormat="false" ht="15" hidden="false" customHeight="false" outlineLevel="0" collapsed="false">
      <c r="A88" s="0" t="s">
        <v>185</v>
      </c>
      <c r="B88" s="0" t="n">
        <v>2020</v>
      </c>
      <c r="C88" s="24" t="n">
        <v>9406</v>
      </c>
      <c r="D88" s="9" t="s">
        <v>259</v>
      </c>
      <c r="E88" s="9" t="s">
        <v>223</v>
      </c>
      <c r="F88" s="9" t="s">
        <v>230</v>
      </c>
      <c r="G88" s="9" t="s">
        <v>231</v>
      </c>
      <c r="H88" s="9" t="s">
        <v>235</v>
      </c>
    </row>
    <row r="89" customFormat="false" ht="15" hidden="false" customHeight="false" outlineLevel="0" collapsed="false">
      <c r="A89" s="0" t="s">
        <v>185</v>
      </c>
      <c r="B89" s="0" t="n">
        <v>2021</v>
      </c>
      <c r="C89" s="24" t="n">
        <v>9413</v>
      </c>
      <c r="D89" s="9" t="s">
        <v>259</v>
      </c>
      <c r="E89" s="9" t="s">
        <v>223</v>
      </c>
      <c r="F89" s="9" t="s">
        <v>233</v>
      </c>
      <c r="G89" s="9" t="s">
        <v>234</v>
      </c>
      <c r="H89" s="9" t="s">
        <v>238</v>
      </c>
    </row>
    <row r="90" customFormat="false" ht="15" hidden="false" customHeight="false" outlineLevel="0" collapsed="false">
      <c r="A90" s="0" t="s">
        <v>185</v>
      </c>
      <c r="B90" s="0" t="n">
        <v>2022</v>
      </c>
      <c r="C90" s="24" t="n">
        <v>8920</v>
      </c>
      <c r="D90" s="9" t="s">
        <v>259</v>
      </c>
      <c r="E90" s="9" t="s">
        <v>223</v>
      </c>
      <c r="F90" s="9" t="s">
        <v>236</v>
      </c>
      <c r="G90" s="9" t="s">
        <v>237</v>
      </c>
      <c r="H90" s="9" t="s">
        <v>241</v>
      </c>
    </row>
    <row r="91" customFormat="false" ht="15" hidden="false" customHeight="false" outlineLevel="0" collapsed="false">
      <c r="A91" s="0" t="s">
        <v>185</v>
      </c>
      <c r="B91" s="0" t="n">
        <v>2023</v>
      </c>
      <c r="C91" s="24" t="n">
        <v>8927</v>
      </c>
      <c r="D91" s="9" t="s">
        <v>259</v>
      </c>
      <c r="E91" s="9" t="s">
        <v>223</v>
      </c>
      <c r="F91" s="9" t="s">
        <v>239</v>
      </c>
      <c r="G91" s="9" t="s">
        <v>240</v>
      </c>
      <c r="H91" s="9" t="s">
        <v>244</v>
      </c>
    </row>
    <row r="92" customFormat="false" ht="15" hidden="false" customHeight="false" outlineLevel="0" collapsed="false">
      <c r="A92" s="0" t="s">
        <v>185</v>
      </c>
      <c r="B92" s="0" t="n">
        <v>2024</v>
      </c>
      <c r="C92" s="24" t="n">
        <v>7903</v>
      </c>
      <c r="D92" s="9" t="s">
        <v>259</v>
      </c>
      <c r="E92" s="9" t="s">
        <v>223</v>
      </c>
      <c r="F92" s="9" t="s">
        <v>242</v>
      </c>
      <c r="G92" s="9" t="s">
        <v>243</v>
      </c>
      <c r="H92" s="9" t="s">
        <v>247</v>
      </c>
    </row>
    <row r="93" customFormat="false" ht="15" hidden="false" customHeight="false" outlineLevel="0" collapsed="false">
      <c r="A93" s="0" t="s">
        <v>185</v>
      </c>
      <c r="B93" s="0" t="n">
        <v>2025</v>
      </c>
      <c r="C93" s="24" t="n">
        <v>7961</v>
      </c>
      <c r="D93" s="9" t="s">
        <v>259</v>
      </c>
      <c r="E93" s="9" t="s">
        <v>223</v>
      </c>
      <c r="F93" s="9" t="s">
        <v>245</v>
      </c>
      <c r="G93" s="9" t="s">
        <v>246</v>
      </c>
      <c r="H93" s="9" t="s">
        <v>248</v>
      </c>
    </row>
    <row r="94" customFormat="false" ht="15" hidden="false" customHeight="false" outlineLevel="0" collapsed="false">
      <c r="A94" s="0" t="s">
        <v>185</v>
      </c>
      <c r="B94" s="0" t="n">
        <v>2026</v>
      </c>
      <c r="C94" s="24" t="n">
        <v>5942</v>
      </c>
      <c r="D94" s="9" t="s">
        <v>259</v>
      </c>
      <c r="E94" s="9" t="s">
        <v>223</v>
      </c>
      <c r="F94" s="9" t="s">
        <v>245</v>
      </c>
      <c r="G94" s="9" t="s">
        <v>246</v>
      </c>
      <c r="H94" s="9" t="s">
        <v>249</v>
      </c>
    </row>
    <row r="95" customFormat="false" ht="15" hidden="false" customHeight="false" outlineLevel="0" collapsed="false">
      <c r="A95" s="0" t="s">
        <v>186</v>
      </c>
      <c r="B95" s="0" t="n">
        <v>2017</v>
      </c>
      <c r="C95" s="24" t="n">
        <v>6</v>
      </c>
      <c r="D95" s="9" t="s">
        <v>262</v>
      </c>
      <c r="E95" s="9" t="s">
        <v>223</v>
      </c>
      <c r="F95" s="9" t="s">
        <v>260</v>
      </c>
      <c r="G95" s="9" t="s">
        <v>261</v>
      </c>
      <c r="H95" s="9" t="s">
        <v>226</v>
      </c>
    </row>
    <row r="96" customFormat="false" ht="15" hidden="false" customHeight="false" outlineLevel="0" collapsed="false">
      <c r="A96" s="0" t="s">
        <v>186</v>
      </c>
      <c r="B96" s="0" t="n">
        <v>2018</v>
      </c>
      <c r="C96" s="24" t="n">
        <v>6</v>
      </c>
      <c r="D96" s="9" t="s">
        <v>262</v>
      </c>
      <c r="E96" s="9" t="s">
        <v>223</v>
      </c>
      <c r="F96" s="9" t="s">
        <v>224</v>
      </c>
      <c r="G96" s="9" t="s">
        <v>225</v>
      </c>
      <c r="H96" s="9" t="s">
        <v>229</v>
      </c>
    </row>
    <row r="97" customFormat="false" ht="15" hidden="false" customHeight="false" outlineLevel="0" collapsed="false">
      <c r="A97" s="0" t="s">
        <v>186</v>
      </c>
      <c r="B97" s="0" t="n">
        <v>2019</v>
      </c>
      <c r="C97" s="24" t="n">
        <v>6</v>
      </c>
      <c r="D97" s="9" t="s">
        <v>262</v>
      </c>
      <c r="E97" s="9" t="s">
        <v>223</v>
      </c>
      <c r="F97" s="9" t="s">
        <v>227</v>
      </c>
      <c r="G97" s="9" t="s">
        <v>228</v>
      </c>
      <c r="H97" s="9" t="s">
        <v>232</v>
      </c>
    </row>
    <row r="98" customFormat="false" ht="15" hidden="false" customHeight="false" outlineLevel="0" collapsed="false">
      <c r="A98" s="0" t="s">
        <v>186</v>
      </c>
      <c r="B98" s="0" t="n">
        <v>2020</v>
      </c>
      <c r="C98" s="24" t="n">
        <v>3</v>
      </c>
      <c r="D98" s="9" t="s">
        <v>262</v>
      </c>
      <c r="E98" s="9" t="s">
        <v>223</v>
      </c>
      <c r="F98" s="9" t="s">
        <v>230</v>
      </c>
      <c r="G98" s="9" t="s">
        <v>231</v>
      </c>
      <c r="H98" s="9" t="s">
        <v>235</v>
      </c>
    </row>
    <row r="99" customFormat="false" ht="15" hidden="false" customHeight="false" outlineLevel="0" collapsed="false">
      <c r="A99" s="0" t="s">
        <v>186</v>
      </c>
      <c r="B99" s="0" t="n">
        <v>2021</v>
      </c>
      <c r="C99" s="24" t="n">
        <v>0</v>
      </c>
      <c r="D99" s="9" t="s">
        <v>262</v>
      </c>
      <c r="E99" s="9" t="s">
        <v>223</v>
      </c>
      <c r="F99" s="9" t="s">
        <v>233</v>
      </c>
      <c r="G99" s="9" t="s">
        <v>234</v>
      </c>
      <c r="H99" s="9" t="s">
        <v>238</v>
      </c>
    </row>
    <row r="100" customFormat="false" ht="15" hidden="false" customHeight="false" outlineLevel="0" collapsed="false">
      <c r="A100" s="0" t="s">
        <v>186</v>
      </c>
      <c r="B100" s="0" t="n">
        <v>2022</v>
      </c>
      <c r="C100" s="24" t="n">
        <v>500</v>
      </c>
      <c r="D100" s="9" t="s">
        <v>262</v>
      </c>
      <c r="E100" s="9" t="s">
        <v>223</v>
      </c>
      <c r="F100" s="9" t="s">
        <v>236</v>
      </c>
      <c r="G100" s="9" t="s">
        <v>237</v>
      </c>
      <c r="H100" s="9" t="s">
        <v>241</v>
      </c>
    </row>
    <row r="101" customFormat="false" ht="15" hidden="false" customHeight="false" outlineLevel="0" collapsed="false">
      <c r="A101" s="0" t="s">
        <v>186</v>
      </c>
      <c r="B101" s="0" t="n">
        <v>2023</v>
      </c>
      <c r="C101" s="24" t="n">
        <v>0</v>
      </c>
      <c r="D101" s="9" t="s">
        <v>262</v>
      </c>
      <c r="E101" s="9" t="s">
        <v>223</v>
      </c>
      <c r="F101" s="9" t="s">
        <v>239</v>
      </c>
      <c r="G101" s="9" t="s">
        <v>240</v>
      </c>
      <c r="H101" s="9" t="s">
        <v>244</v>
      </c>
    </row>
    <row r="102" customFormat="false" ht="15" hidden="false" customHeight="false" outlineLevel="0" collapsed="false">
      <c r="A102" s="0" t="s">
        <v>186</v>
      </c>
      <c r="B102" s="0" t="n">
        <v>2024</v>
      </c>
      <c r="C102" s="24" t="n">
        <v>1000</v>
      </c>
      <c r="D102" s="9" t="s">
        <v>262</v>
      </c>
      <c r="E102" s="9" t="s">
        <v>223</v>
      </c>
      <c r="F102" s="9" t="s">
        <v>242</v>
      </c>
      <c r="G102" s="9" t="s">
        <v>243</v>
      </c>
      <c r="H102" s="9" t="s">
        <v>247</v>
      </c>
    </row>
    <row r="103" customFormat="false" ht="15" hidden="false" customHeight="false" outlineLevel="0" collapsed="false">
      <c r="A103" s="0" t="s">
        <v>186</v>
      </c>
      <c r="B103" s="0" t="n">
        <v>2025</v>
      </c>
      <c r="C103" s="24" t="n">
        <v>0</v>
      </c>
      <c r="D103" s="9" t="s">
        <v>262</v>
      </c>
      <c r="E103" s="9" t="s">
        <v>223</v>
      </c>
      <c r="F103" s="9" t="s">
        <v>245</v>
      </c>
      <c r="G103" s="9" t="s">
        <v>246</v>
      </c>
      <c r="H103" s="9" t="s">
        <v>248</v>
      </c>
    </row>
    <row r="104" customFormat="false" ht="15" hidden="false" customHeight="false" outlineLevel="0" collapsed="false">
      <c r="A104" s="0" t="s">
        <v>186</v>
      </c>
      <c r="B104" s="0" t="n">
        <v>2026</v>
      </c>
      <c r="C104" s="24" t="n">
        <v>2000</v>
      </c>
      <c r="D104" s="9" t="s">
        <v>262</v>
      </c>
      <c r="E104" s="9" t="s">
        <v>223</v>
      </c>
      <c r="F104" s="9" t="s">
        <v>245</v>
      </c>
      <c r="G104" s="9" t="s">
        <v>246</v>
      </c>
      <c r="H104" s="9" t="s">
        <v>249</v>
      </c>
    </row>
    <row r="105" customFormat="false" ht="15" hidden="false" customHeight="false" outlineLevel="0" collapsed="false">
      <c r="A105" s="0" t="s">
        <v>187</v>
      </c>
      <c r="B105" s="0" t="n">
        <v>2017</v>
      </c>
      <c r="C105" s="24" t="n">
        <v>325</v>
      </c>
      <c r="D105" s="9" t="s">
        <v>263</v>
      </c>
      <c r="E105" s="9" t="s">
        <v>223</v>
      </c>
      <c r="F105" s="9" t="s">
        <v>260</v>
      </c>
      <c r="G105" s="9" t="s">
        <v>261</v>
      </c>
      <c r="H105" s="9" t="s">
        <v>226</v>
      </c>
    </row>
    <row r="106" customFormat="false" ht="15" hidden="false" customHeight="false" outlineLevel="0" collapsed="false">
      <c r="A106" s="0" t="s">
        <v>187</v>
      </c>
      <c r="B106" s="0" t="n">
        <v>2018</v>
      </c>
      <c r="C106" s="24" t="n">
        <v>336</v>
      </c>
      <c r="D106" s="9" t="s">
        <v>263</v>
      </c>
      <c r="E106" s="9" t="s">
        <v>223</v>
      </c>
      <c r="F106" s="9" t="s">
        <v>224</v>
      </c>
      <c r="G106" s="9" t="s">
        <v>225</v>
      </c>
      <c r="H106" s="9" t="s">
        <v>229</v>
      </c>
    </row>
    <row r="107" customFormat="false" ht="15" hidden="false" customHeight="false" outlineLevel="0" collapsed="false">
      <c r="A107" s="0" t="s">
        <v>187</v>
      </c>
      <c r="B107" s="0" t="n">
        <v>2019</v>
      </c>
      <c r="C107" s="24" t="n">
        <v>9</v>
      </c>
      <c r="D107" s="9" t="s">
        <v>263</v>
      </c>
      <c r="E107" s="9" t="s">
        <v>223</v>
      </c>
      <c r="F107" s="9" t="s">
        <v>227</v>
      </c>
      <c r="G107" s="9" t="s">
        <v>228</v>
      </c>
      <c r="H107" s="9" t="s">
        <v>232</v>
      </c>
    </row>
    <row r="108" customFormat="false" ht="15" hidden="false" customHeight="false" outlineLevel="0" collapsed="false">
      <c r="A108" s="0" t="s">
        <v>187</v>
      </c>
      <c r="B108" s="0" t="n">
        <v>2020</v>
      </c>
      <c r="C108" s="24" t="n">
        <v>248</v>
      </c>
      <c r="D108" s="9" t="s">
        <v>263</v>
      </c>
      <c r="E108" s="9" t="s">
        <v>223</v>
      </c>
      <c r="F108" s="9" t="s">
        <v>230</v>
      </c>
      <c r="G108" s="9" t="s">
        <v>231</v>
      </c>
      <c r="H108" s="9" t="s">
        <v>235</v>
      </c>
    </row>
    <row r="109" customFormat="false" ht="15" hidden="false" customHeight="false" outlineLevel="0" collapsed="false">
      <c r="A109" s="0" t="s">
        <v>187</v>
      </c>
      <c r="B109" s="0" t="n">
        <v>2021</v>
      </c>
      <c r="C109" s="24" t="n">
        <v>2</v>
      </c>
      <c r="D109" s="9" t="s">
        <v>263</v>
      </c>
      <c r="E109" s="9" t="s">
        <v>223</v>
      </c>
      <c r="F109" s="9" t="s">
        <v>233</v>
      </c>
      <c r="G109" s="9" t="s">
        <v>234</v>
      </c>
      <c r="H109" s="9" t="s">
        <v>238</v>
      </c>
    </row>
    <row r="110" customFormat="false" ht="15" hidden="false" customHeight="false" outlineLevel="0" collapsed="false">
      <c r="A110" s="0" t="s">
        <v>187</v>
      </c>
      <c r="B110" s="0" t="n">
        <v>2022</v>
      </c>
      <c r="C110" s="24" t="n">
        <v>10</v>
      </c>
      <c r="D110" s="9" t="s">
        <v>263</v>
      </c>
      <c r="E110" s="9" t="s">
        <v>223</v>
      </c>
      <c r="F110" s="9" t="s">
        <v>236</v>
      </c>
      <c r="G110" s="9" t="s">
        <v>237</v>
      </c>
      <c r="H110" s="9" t="s">
        <v>241</v>
      </c>
    </row>
    <row r="111" customFormat="false" ht="15" hidden="false" customHeight="false" outlineLevel="0" collapsed="false">
      <c r="A111" s="0" t="s">
        <v>187</v>
      </c>
      <c r="B111" s="0" t="n">
        <v>2023</v>
      </c>
      <c r="C111" s="24" t="n">
        <v>6</v>
      </c>
      <c r="D111" s="9" t="s">
        <v>263</v>
      </c>
      <c r="E111" s="9" t="s">
        <v>223</v>
      </c>
      <c r="F111" s="9" t="s">
        <v>239</v>
      </c>
      <c r="G111" s="9" t="s">
        <v>240</v>
      </c>
      <c r="H111" s="9" t="s">
        <v>244</v>
      </c>
    </row>
    <row r="112" customFormat="false" ht="15" hidden="false" customHeight="false" outlineLevel="0" collapsed="false">
      <c r="A112" s="0" t="s">
        <v>187</v>
      </c>
      <c r="B112" s="0" t="n">
        <v>2024</v>
      </c>
      <c r="C112" s="24" t="n">
        <v>6</v>
      </c>
      <c r="D112" s="9" t="s">
        <v>263</v>
      </c>
      <c r="E112" s="9" t="s">
        <v>223</v>
      </c>
      <c r="F112" s="9" t="s">
        <v>242</v>
      </c>
      <c r="G112" s="9" t="s">
        <v>243</v>
      </c>
      <c r="H112" s="9" t="s">
        <v>247</v>
      </c>
    </row>
    <row r="113" customFormat="false" ht="15" hidden="false" customHeight="false" outlineLevel="0" collapsed="false">
      <c r="A113" s="0" t="s">
        <v>187</v>
      </c>
      <c r="B113" s="0" t="n">
        <v>2025</v>
      </c>
      <c r="C113" s="24" t="n">
        <v>5</v>
      </c>
      <c r="D113" s="9" t="s">
        <v>263</v>
      </c>
      <c r="E113" s="9" t="s">
        <v>223</v>
      </c>
      <c r="F113" s="9" t="s">
        <v>242</v>
      </c>
      <c r="G113" s="9" t="s">
        <v>243</v>
      </c>
      <c r="H113" s="9" t="s">
        <v>248</v>
      </c>
    </row>
    <row r="114" customFormat="false" ht="15" hidden="false" customHeight="false" outlineLevel="0" collapsed="false">
      <c r="A114" s="0" t="s">
        <v>178</v>
      </c>
      <c r="B114" s="0" t="n">
        <v>2017</v>
      </c>
      <c r="C114" s="24" t="n">
        <v>3808</v>
      </c>
      <c r="D114" s="9" t="s">
        <v>264</v>
      </c>
      <c r="E114" s="9" t="s">
        <v>223</v>
      </c>
      <c r="F114" s="9" t="s">
        <v>227</v>
      </c>
      <c r="G114" s="9" t="s">
        <v>228</v>
      </c>
      <c r="H114" s="9" t="s">
        <v>226</v>
      </c>
    </row>
    <row r="115" customFormat="false" ht="15" hidden="false" customHeight="false" outlineLevel="0" collapsed="false">
      <c r="A115" s="0" t="s">
        <v>178</v>
      </c>
      <c r="B115" s="0" t="n">
        <v>2018</v>
      </c>
      <c r="C115" s="24" t="n">
        <v>4249</v>
      </c>
      <c r="D115" s="9" t="s">
        <v>264</v>
      </c>
      <c r="E115" s="9" t="s">
        <v>223</v>
      </c>
      <c r="F115" s="9" t="s">
        <v>227</v>
      </c>
      <c r="G115" s="9" t="s">
        <v>228</v>
      </c>
      <c r="H115" s="9" t="s">
        <v>229</v>
      </c>
    </row>
    <row r="116" customFormat="false" ht="15" hidden="false" customHeight="false" outlineLevel="0" collapsed="false">
      <c r="A116" s="0" t="s">
        <v>178</v>
      </c>
      <c r="B116" s="0" t="n">
        <v>2019</v>
      </c>
      <c r="C116" s="24" t="n">
        <v>4466</v>
      </c>
      <c r="D116" s="9" t="s">
        <v>264</v>
      </c>
      <c r="E116" s="9" t="s">
        <v>223</v>
      </c>
      <c r="F116" s="9" t="s">
        <v>227</v>
      </c>
      <c r="G116" s="9" t="s">
        <v>228</v>
      </c>
      <c r="H116" s="9" t="s">
        <v>232</v>
      </c>
    </row>
    <row r="117" customFormat="false" ht="15" hidden="false" customHeight="false" outlineLevel="0" collapsed="false">
      <c r="A117" s="0" t="s">
        <v>178</v>
      </c>
      <c r="B117" s="0" t="n">
        <v>2020</v>
      </c>
      <c r="C117" s="24" t="n">
        <v>8348</v>
      </c>
      <c r="D117" s="9" t="s">
        <v>264</v>
      </c>
      <c r="E117" s="9" t="s">
        <v>223</v>
      </c>
      <c r="F117" s="9" t="s">
        <v>230</v>
      </c>
      <c r="G117" s="9" t="s">
        <v>231</v>
      </c>
      <c r="H117" s="9" t="s">
        <v>235</v>
      </c>
    </row>
    <row r="118" customFormat="false" ht="15" hidden="false" customHeight="false" outlineLevel="0" collapsed="false">
      <c r="A118" s="0" t="s">
        <v>178</v>
      </c>
      <c r="B118" s="0" t="n">
        <v>2021</v>
      </c>
      <c r="C118" s="24" t="n">
        <v>9889</v>
      </c>
      <c r="D118" s="9" t="s">
        <v>264</v>
      </c>
      <c r="E118" s="9" t="s">
        <v>223</v>
      </c>
      <c r="F118" s="9" t="s">
        <v>233</v>
      </c>
      <c r="G118" s="9" t="s">
        <v>234</v>
      </c>
      <c r="H118" s="9" t="s">
        <v>238</v>
      </c>
    </row>
    <row r="119" customFormat="false" ht="15" hidden="false" customHeight="false" outlineLevel="0" collapsed="false">
      <c r="A119" s="0" t="s">
        <v>178</v>
      </c>
      <c r="B119" s="0" t="n">
        <v>2022</v>
      </c>
      <c r="C119" s="24" t="n">
        <v>8574</v>
      </c>
      <c r="D119" s="9" t="s">
        <v>264</v>
      </c>
      <c r="E119" s="9" t="s">
        <v>223</v>
      </c>
      <c r="F119" s="9" t="s">
        <v>236</v>
      </c>
      <c r="G119" s="9" t="s">
        <v>237</v>
      </c>
      <c r="H119" s="9" t="s">
        <v>241</v>
      </c>
    </row>
    <row r="120" customFormat="false" ht="15" hidden="false" customHeight="false" outlineLevel="0" collapsed="false">
      <c r="A120" s="0" t="s">
        <v>178</v>
      </c>
      <c r="B120" s="0" t="n">
        <v>2023</v>
      </c>
      <c r="C120" s="24" t="n">
        <v>7441</v>
      </c>
      <c r="D120" s="9" t="s">
        <v>264</v>
      </c>
      <c r="E120" s="9" t="s">
        <v>223</v>
      </c>
      <c r="F120" s="9" t="s">
        <v>239</v>
      </c>
      <c r="G120" s="9" t="s">
        <v>240</v>
      </c>
      <c r="H120" s="9" t="s">
        <v>244</v>
      </c>
    </row>
    <row r="121" customFormat="false" ht="15" hidden="false" customHeight="false" outlineLevel="0" collapsed="false">
      <c r="A121" s="0" t="s">
        <v>178</v>
      </c>
      <c r="B121" s="0" t="n">
        <v>2024</v>
      </c>
      <c r="C121" s="24" t="n">
        <v>9860</v>
      </c>
      <c r="D121" s="9" t="s">
        <v>264</v>
      </c>
      <c r="E121" s="9" t="s">
        <v>223</v>
      </c>
      <c r="F121" s="9" t="s">
        <v>242</v>
      </c>
      <c r="G121" s="9" t="s">
        <v>243</v>
      </c>
      <c r="H121" s="9" t="s">
        <v>247</v>
      </c>
    </row>
    <row r="122" customFormat="false" ht="15" hidden="false" customHeight="false" outlineLevel="0" collapsed="false">
      <c r="A122" s="0" t="s">
        <v>178</v>
      </c>
      <c r="B122" s="0" t="n">
        <v>2025</v>
      </c>
      <c r="C122" s="24" t="n">
        <v>7464</v>
      </c>
      <c r="D122" s="9" t="s">
        <v>264</v>
      </c>
      <c r="E122" s="9" t="s">
        <v>223</v>
      </c>
      <c r="F122" s="9" t="s">
        <v>245</v>
      </c>
      <c r="G122" s="9" t="s">
        <v>246</v>
      </c>
      <c r="H122" s="9" t="s">
        <v>248</v>
      </c>
    </row>
    <row r="123" customFormat="false" ht="15" hidden="false" customHeight="false" outlineLevel="0" collapsed="false">
      <c r="A123" s="0" t="s">
        <v>178</v>
      </c>
      <c r="B123" s="0" t="n">
        <v>2026</v>
      </c>
      <c r="C123" s="24" t="n">
        <v>7563</v>
      </c>
      <c r="D123" s="9" t="s">
        <v>264</v>
      </c>
      <c r="E123" s="9" t="s">
        <v>223</v>
      </c>
      <c r="F123" s="9" t="s">
        <v>245</v>
      </c>
      <c r="G123" s="9" t="s">
        <v>246</v>
      </c>
      <c r="H123" s="9" t="s">
        <v>249</v>
      </c>
    </row>
    <row r="124" customFormat="false" ht="15" hidden="false" customHeight="false" outlineLevel="0" collapsed="false">
      <c r="A124" s="0" t="s">
        <v>179</v>
      </c>
      <c r="B124" s="0" t="n">
        <v>2017</v>
      </c>
      <c r="C124" s="24" t="n">
        <v>2371</v>
      </c>
      <c r="D124" s="9" t="s">
        <v>265</v>
      </c>
      <c r="E124" s="9" t="s">
        <v>223</v>
      </c>
      <c r="F124" s="9" t="s">
        <v>260</v>
      </c>
      <c r="G124" s="9" t="s">
        <v>261</v>
      </c>
      <c r="H124" s="9" t="s">
        <v>226</v>
      </c>
    </row>
    <row r="125" customFormat="false" ht="15" hidden="false" customHeight="false" outlineLevel="0" collapsed="false">
      <c r="A125" s="0" t="s">
        <v>179</v>
      </c>
      <c r="B125" s="0" t="n">
        <v>2018</v>
      </c>
      <c r="C125" s="24" t="n">
        <v>996</v>
      </c>
      <c r="D125" s="9" t="s">
        <v>266</v>
      </c>
      <c r="E125" s="9" t="s">
        <v>223</v>
      </c>
      <c r="F125" s="9" t="s">
        <v>224</v>
      </c>
      <c r="G125" s="9" t="s">
        <v>225</v>
      </c>
      <c r="H125" s="9" t="s">
        <v>229</v>
      </c>
    </row>
    <row r="126" customFormat="false" ht="15" hidden="false" customHeight="false" outlineLevel="0" collapsed="false">
      <c r="A126" s="0" t="s">
        <v>179</v>
      </c>
      <c r="B126" s="0" t="n">
        <v>2019</v>
      </c>
      <c r="C126" s="24" t="n">
        <v>197</v>
      </c>
      <c r="D126" s="9" t="s">
        <v>266</v>
      </c>
      <c r="E126" s="9" t="s">
        <v>223</v>
      </c>
      <c r="F126" s="9" t="s">
        <v>227</v>
      </c>
      <c r="G126" s="9" t="s">
        <v>228</v>
      </c>
      <c r="H126" s="9" t="s">
        <v>232</v>
      </c>
    </row>
    <row r="127" customFormat="false" ht="15" hidden="false" customHeight="false" outlineLevel="0" collapsed="false">
      <c r="A127" s="0" t="s">
        <v>179</v>
      </c>
      <c r="B127" s="0" t="n">
        <v>2020</v>
      </c>
      <c r="C127" s="24" t="n">
        <v>439</v>
      </c>
      <c r="D127" s="9" t="s">
        <v>266</v>
      </c>
      <c r="E127" s="9" t="s">
        <v>223</v>
      </c>
      <c r="F127" s="9" t="s">
        <v>230</v>
      </c>
      <c r="G127" s="9" t="s">
        <v>231</v>
      </c>
      <c r="H127" s="9" t="s">
        <v>235</v>
      </c>
    </row>
    <row r="128" customFormat="false" ht="15" hidden="false" customHeight="false" outlineLevel="0" collapsed="false">
      <c r="A128" s="0" t="s">
        <v>179</v>
      </c>
      <c r="B128" s="0" t="n">
        <v>2021</v>
      </c>
      <c r="C128" s="24" t="n">
        <v>3587</v>
      </c>
      <c r="D128" s="9" t="s">
        <v>267</v>
      </c>
      <c r="E128" s="9" t="s">
        <v>223</v>
      </c>
      <c r="F128" s="9" t="s">
        <v>233</v>
      </c>
      <c r="G128" s="9" t="s">
        <v>234</v>
      </c>
      <c r="H128" s="9" t="s">
        <v>238</v>
      </c>
    </row>
    <row r="129" customFormat="false" ht="15" hidden="false" customHeight="false" outlineLevel="0" collapsed="false">
      <c r="A129" s="0" t="s">
        <v>179</v>
      </c>
      <c r="B129" s="0" t="n">
        <v>2022</v>
      </c>
      <c r="C129" s="24" t="n">
        <v>4423</v>
      </c>
      <c r="D129" s="9" t="s">
        <v>267</v>
      </c>
      <c r="E129" s="9" t="s">
        <v>223</v>
      </c>
      <c r="F129" s="9" t="s">
        <v>236</v>
      </c>
      <c r="G129" s="9" t="s">
        <v>237</v>
      </c>
      <c r="H129" s="9" t="s">
        <v>241</v>
      </c>
    </row>
    <row r="130" customFormat="false" ht="15" hidden="false" customHeight="false" outlineLevel="0" collapsed="false">
      <c r="A130" s="0" t="s">
        <v>179</v>
      </c>
      <c r="B130" s="0" t="n">
        <v>2023</v>
      </c>
      <c r="C130" s="24" t="n">
        <v>3234</v>
      </c>
      <c r="D130" s="9" t="s">
        <v>267</v>
      </c>
      <c r="E130" s="9" t="s">
        <v>223</v>
      </c>
      <c r="F130" s="9" t="s">
        <v>239</v>
      </c>
      <c r="G130" s="9" t="s">
        <v>240</v>
      </c>
      <c r="H130" s="9" t="s">
        <v>244</v>
      </c>
    </row>
    <row r="131" customFormat="false" ht="15" hidden="false" customHeight="false" outlineLevel="0" collapsed="false">
      <c r="A131" s="0" t="s">
        <v>179</v>
      </c>
      <c r="B131" s="0" t="n">
        <v>2024</v>
      </c>
      <c r="C131" s="24" t="n">
        <v>1722</v>
      </c>
      <c r="D131" s="9" t="s">
        <v>267</v>
      </c>
      <c r="E131" s="9" t="s">
        <v>223</v>
      </c>
      <c r="F131" s="9" t="s">
        <v>242</v>
      </c>
      <c r="G131" s="9" t="s">
        <v>243</v>
      </c>
      <c r="H131" s="9" t="s">
        <v>247</v>
      </c>
    </row>
    <row r="132" customFormat="false" ht="15" hidden="false" customHeight="false" outlineLevel="0" collapsed="false">
      <c r="A132" s="0" t="s">
        <v>179</v>
      </c>
      <c r="B132" s="0" t="n">
        <v>2025</v>
      </c>
      <c r="C132" s="24" t="n">
        <v>1687</v>
      </c>
      <c r="D132" s="9" t="s">
        <v>267</v>
      </c>
      <c r="E132" s="9" t="s">
        <v>223</v>
      </c>
      <c r="F132" s="9" t="s">
        <v>245</v>
      </c>
      <c r="G132" s="9" t="s">
        <v>246</v>
      </c>
      <c r="H132" s="9" t="s">
        <v>248</v>
      </c>
    </row>
    <row r="133" customFormat="false" ht="15" hidden="false" customHeight="false" outlineLevel="0" collapsed="false">
      <c r="A133" s="0" t="s">
        <v>179</v>
      </c>
      <c r="B133" s="0" t="n">
        <v>2026</v>
      </c>
      <c r="C133" s="24" t="n">
        <v>1464</v>
      </c>
      <c r="D133" s="9" t="s">
        <v>267</v>
      </c>
      <c r="E133" s="9" t="s">
        <v>223</v>
      </c>
      <c r="F133" s="9" t="s">
        <v>245</v>
      </c>
      <c r="G133" s="9" t="s">
        <v>246</v>
      </c>
      <c r="H133" s="9" t="s">
        <v>249</v>
      </c>
    </row>
    <row r="134" customFormat="false" ht="15" hidden="false" customHeight="false" outlineLevel="0" collapsed="false">
      <c r="A134" s="0" t="s">
        <v>189</v>
      </c>
      <c r="B134" s="0" t="n">
        <v>2017</v>
      </c>
      <c r="C134" s="24" t="n">
        <v>12407</v>
      </c>
      <c r="D134" s="9" t="s">
        <v>268</v>
      </c>
      <c r="E134" s="9" t="s">
        <v>223</v>
      </c>
      <c r="F134" s="9" t="s">
        <v>227</v>
      </c>
      <c r="G134" s="9" t="s">
        <v>228</v>
      </c>
      <c r="H134" s="9" t="s">
        <v>226</v>
      </c>
    </row>
    <row r="135" customFormat="false" ht="15" hidden="false" customHeight="false" outlineLevel="0" collapsed="false">
      <c r="A135" s="0" t="s">
        <v>169</v>
      </c>
      <c r="B135" s="0" t="n">
        <v>2017</v>
      </c>
      <c r="C135" s="24" t="n">
        <v>646</v>
      </c>
      <c r="D135" s="9" t="s">
        <v>269</v>
      </c>
      <c r="E135" s="9" t="s">
        <v>223</v>
      </c>
      <c r="F135" s="9" t="s">
        <v>224</v>
      </c>
      <c r="G135" s="9" t="s">
        <v>225</v>
      </c>
      <c r="H135" s="9" t="s">
        <v>226</v>
      </c>
    </row>
    <row r="136" customFormat="false" ht="15" hidden="false" customHeight="false" outlineLevel="0" collapsed="false">
      <c r="A136" s="0" t="s">
        <v>189</v>
      </c>
      <c r="B136" s="0" t="n">
        <v>2018</v>
      </c>
      <c r="C136" s="24" t="n">
        <v>9812</v>
      </c>
      <c r="D136" s="9" t="s">
        <v>268</v>
      </c>
      <c r="E136" s="9" t="s">
        <v>223</v>
      </c>
      <c r="F136" s="9" t="s">
        <v>230</v>
      </c>
      <c r="G136" s="9" t="s">
        <v>231</v>
      </c>
      <c r="H136" s="9" t="s">
        <v>229</v>
      </c>
    </row>
    <row r="137" customFormat="false" ht="15" hidden="false" customHeight="false" outlineLevel="0" collapsed="false">
      <c r="A137" s="0" t="s">
        <v>169</v>
      </c>
      <c r="B137" s="0" t="n">
        <v>2018</v>
      </c>
      <c r="C137" s="24" t="n">
        <v>2392</v>
      </c>
      <c r="D137" s="9" t="s">
        <v>269</v>
      </c>
      <c r="E137" s="9" t="s">
        <v>223</v>
      </c>
      <c r="F137" s="9" t="s">
        <v>227</v>
      </c>
      <c r="G137" s="9" t="s">
        <v>228</v>
      </c>
      <c r="H137" s="9" t="s">
        <v>229</v>
      </c>
    </row>
    <row r="138" customFormat="false" ht="15" hidden="false" customHeight="false" outlineLevel="0" collapsed="false">
      <c r="A138" s="0" t="s">
        <v>189</v>
      </c>
      <c r="B138" s="0" t="n">
        <v>2019</v>
      </c>
      <c r="C138" s="24" t="n">
        <v>9040</v>
      </c>
      <c r="D138" s="9" t="s">
        <v>268</v>
      </c>
      <c r="E138" s="9" t="s">
        <v>223</v>
      </c>
      <c r="F138" s="9" t="s">
        <v>233</v>
      </c>
      <c r="G138" s="9" t="s">
        <v>234</v>
      </c>
      <c r="H138" s="9" t="s">
        <v>232</v>
      </c>
    </row>
    <row r="139" customFormat="false" ht="15" hidden="false" customHeight="false" outlineLevel="0" collapsed="false">
      <c r="A139" s="0" t="s">
        <v>169</v>
      </c>
      <c r="B139" s="0" t="n">
        <v>2019</v>
      </c>
      <c r="C139" s="24" t="n">
        <v>772</v>
      </c>
      <c r="D139" s="9" t="s">
        <v>269</v>
      </c>
      <c r="E139" s="9" t="s">
        <v>223</v>
      </c>
      <c r="F139" s="9" t="s">
        <v>230</v>
      </c>
      <c r="G139" s="9" t="s">
        <v>231</v>
      </c>
      <c r="H139" s="9" t="s">
        <v>232</v>
      </c>
    </row>
    <row r="140" customFormat="false" ht="15" hidden="false" customHeight="false" outlineLevel="0" collapsed="false">
      <c r="A140" s="0" t="s">
        <v>189</v>
      </c>
      <c r="B140" s="0" t="n">
        <v>2020</v>
      </c>
      <c r="C140" s="24" t="n">
        <v>8055</v>
      </c>
      <c r="D140" s="9" t="s">
        <v>268</v>
      </c>
      <c r="E140" s="9" t="s">
        <v>223</v>
      </c>
      <c r="F140" s="9" t="s">
        <v>236</v>
      </c>
      <c r="G140" s="9" t="s">
        <v>237</v>
      </c>
      <c r="H140" s="9" t="s">
        <v>235</v>
      </c>
    </row>
    <row r="141" customFormat="false" ht="15" hidden="false" customHeight="false" outlineLevel="0" collapsed="false">
      <c r="A141" s="0" t="s">
        <v>169</v>
      </c>
      <c r="B141" s="0" t="n">
        <v>2020</v>
      </c>
      <c r="C141" s="24" t="n">
        <v>348</v>
      </c>
      <c r="D141" s="9" t="s">
        <v>269</v>
      </c>
      <c r="E141" s="9" t="s">
        <v>223</v>
      </c>
      <c r="F141" s="9" t="s">
        <v>233</v>
      </c>
      <c r="G141" s="9" t="s">
        <v>234</v>
      </c>
      <c r="H141" s="9" t="s">
        <v>235</v>
      </c>
    </row>
    <row r="142" customFormat="false" ht="15" hidden="false" customHeight="false" outlineLevel="0" collapsed="false">
      <c r="A142" s="0" t="s">
        <v>189</v>
      </c>
      <c r="B142" s="0" t="n">
        <v>2021</v>
      </c>
      <c r="C142" s="24" t="n">
        <v>12767</v>
      </c>
      <c r="D142" s="9" t="s">
        <v>268</v>
      </c>
      <c r="E142" s="9" t="s">
        <v>223</v>
      </c>
      <c r="F142" s="9" t="s">
        <v>239</v>
      </c>
      <c r="G142" s="9" t="s">
        <v>240</v>
      </c>
      <c r="H142" s="9" t="s">
        <v>238</v>
      </c>
    </row>
    <row r="143" customFormat="false" ht="15" hidden="false" customHeight="false" outlineLevel="0" collapsed="false">
      <c r="A143" s="0" t="s">
        <v>169</v>
      </c>
      <c r="B143" s="0" t="n">
        <v>2021</v>
      </c>
      <c r="C143" s="24" t="n">
        <v>934</v>
      </c>
      <c r="D143" s="9" t="s">
        <v>269</v>
      </c>
      <c r="E143" s="9" t="s">
        <v>223</v>
      </c>
      <c r="F143" s="9" t="s">
        <v>236</v>
      </c>
      <c r="G143" s="9" t="s">
        <v>237</v>
      </c>
      <c r="H143" s="9" t="s">
        <v>238</v>
      </c>
    </row>
    <row r="144" customFormat="false" ht="15" hidden="false" customHeight="false" outlineLevel="0" collapsed="false">
      <c r="A144" s="0" t="s">
        <v>189</v>
      </c>
      <c r="B144" s="0" t="n">
        <v>2022</v>
      </c>
      <c r="C144" s="24" t="n">
        <v>15281</v>
      </c>
      <c r="D144" s="9" t="s">
        <v>268</v>
      </c>
      <c r="E144" s="9" t="s">
        <v>223</v>
      </c>
      <c r="F144" s="9" t="s">
        <v>242</v>
      </c>
      <c r="G144" s="9" t="s">
        <v>243</v>
      </c>
      <c r="H144" s="9" t="s">
        <v>241</v>
      </c>
    </row>
    <row r="145" customFormat="false" ht="15" hidden="false" customHeight="false" outlineLevel="0" collapsed="false">
      <c r="A145" s="0" t="s">
        <v>169</v>
      </c>
      <c r="B145" s="0" t="n">
        <v>2022</v>
      </c>
      <c r="C145" s="24" t="n">
        <v>605</v>
      </c>
      <c r="D145" s="9" t="s">
        <v>269</v>
      </c>
      <c r="E145" s="9" t="s">
        <v>223</v>
      </c>
      <c r="F145" s="9" t="s">
        <v>239</v>
      </c>
      <c r="G145" s="9" t="s">
        <v>240</v>
      </c>
      <c r="H145" s="9" t="s">
        <v>241</v>
      </c>
    </row>
    <row r="146" customFormat="false" ht="15" hidden="false" customHeight="false" outlineLevel="0" collapsed="false">
      <c r="A146" s="0" t="s">
        <v>189</v>
      </c>
      <c r="B146" s="0" t="n">
        <v>2023</v>
      </c>
      <c r="C146" s="24" t="n">
        <v>14004</v>
      </c>
      <c r="D146" s="9" t="s">
        <v>268</v>
      </c>
      <c r="E146" s="9" t="s">
        <v>223</v>
      </c>
      <c r="F146" s="9" t="s">
        <v>245</v>
      </c>
      <c r="G146" s="9" t="s">
        <v>246</v>
      </c>
      <c r="H146" s="9" t="s">
        <v>244</v>
      </c>
    </row>
    <row r="147" customFormat="false" ht="15" hidden="false" customHeight="false" outlineLevel="0" collapsed="false">
      <c r="A147" s="0" t="s">
        <v>169</v>
      </c>
      <c r="B147" s="0" t="n">
        <v>2023</v>
      </c>
      <c r="C147" s="24" t="n">
        <v>1131</v>
      </c>
      <c r="D147" s="9" t="s">
        <v>269</v>
      </c>
      <c r="E147" s="9" t="s">
        <v>223</v>
      </c>
      <c r="F147" s="9" t="s">
        <v>242</v>
      </c>
      <c r="G147" s="9" t="s">
        <v>243</v>
      </c>
      <c r="H147" s="9" t="s">
        <v>244</v>
      </c>
    </row>
    <row r="148" customFormat="false" ht="15" hidden="false" customHeight="false" outlineLevel="0" collapsed="false">
      <c r="A148" s="0" t="s">
        <v>189</v>
      </c>
      <c r="B148" s="0" t="n">
        <v>2024</v>
      </c>
      <c r="C148" s="24" t="n">
        <v>14430</v>
      </c>
      <c r="D148" s="9" t="s">
        <v>268</v>
      </c>
      <c r="E148" s="9" t="s">
        <v>223</v>
      </c>
      <c r="F148" s="9" t="s">
        <v>245</v>
      </c>
      <c r="G148" s="9" t="s">
        <v>246</v>
      </c>
      <c r="H148" s="9" t="s">
        <v>247</v>
      </c>
    </row>
    <row r="149" customFormat="false" ht="15" hidden="false" customHeight="false" outlineLevel="0" collapsed="false">
      <c r="A149" s="0" t="s">
        <v>169</v>
      </c>
      <c r="B149" s="0" t="n">
        <v>2024</v>
      </c>
      <c r="C149" s="24" t="n">
        <v>1000</v>
      </c>
      <c r="D149" s="9" t="s">
        <v>269</v>
      </c>
      <c r="E149" s="9" t="s">
        <v>223</v>
      </c>
      <c r="F149" s="9" t="s">
        <v>245</v>
      </c>
      <c r="G149" s="9" t="s">
        <v>246</v>
      </c>
      <c r="H149" s="9" t="s">
        <v>247</v>
      </c>
    </row>
    <row r="150" customFormat="false" ht="15" hidden="false" customHeight="false" outlineLevel="0" collapsed="false">
      <c r="A150" s="0" t="s">
        <v>189</v>
      </c>
      <c r="B150" s="0" t="n">
        <v>2025</v>
      </c>
      <c r="C150" s="24" t="n">
        <v>13213</v>
      </c>
      <c r="D150" s="9" t="s">
        <v>268</v>
      </c>
      <c r="E150" s="9" t="s">
        <v>223</v>
      </c>
      <c r="F150" s="9" t="s">
        <v>245</v>
      </c>
      <c r="G150" s="9" t="s">
        <v>246</v>
      </c>
      <c r="H150" s="9" t="s">
        <v>248</v>
      </c>
    </row>
    <row r="151" customFormat="false" ht="15" hidden="false" customHeight="false" outlineLevel="0" collapsed="false">
      <c r="A151" s="0" t="s">
        <v>169</v>
      </c>
      <c r="B151" s="0" t="n">
        <v>2025</v>
      </c>
      <c r="C151" s="24" t="n">
        <v>666</v>
      </c>
      <c r="D151" s="9" t="s">
        <v>269</v>
      </c>
      <c r="E151" s="9" t="s">
        <v>223</v>
      </c>
      <c r="F151" s="9" t="s">
        <v>245</v>
      </c>
      <c r="G151" s="9" t="s">
        <v>246</v>
      </c>
      <c r="H151" s="9" t="s">
        <v>248</v>
      </c>
    </row>
    <row r="152" customFormat="false" ht="15" hidden="false" customHeight="false" outlineLevel="0" collapsed="false">
      <c r="A152" s="0" t="s">
        <v>189</v>
      </c>
      <c r="B152" s="0" t="n">
        <v>2026</v>
      </c>
      <c r="C152" s="24" t="n">
        <v>14865</v>
      </c>
      <c r="D152" s="9" t="s">
        <v>268</v>
      </c>
      <c r="E152" s="9" t="s">
        <v>223</v>
      </c>
      <c r="F152" s="9" t="s">
        <v>245</v>
      </c>
      <c r="G152" s="9" t="s">
        <v>246</v>
      </c>
      <c r="H152" s="9" t="s">
        <v>249</v>
      </c>
    </row>
    <row r="153" customFormat="false" ht="15" hidden="false" customHeight="false" outlineLevel="0" collapsed="false">
      <c r="A153" s="0" t="s">
        <v>169</v>
      </c>
      <c r="B153" s="0" t="n">
        <v>2026</v>
      </c>
      <c r="C153" s="24" t="n">
        <v>792</v>
      </c>
      <c r="D153" s="9" t="s">
        <v>269</v>
      </c>
      <c r="E153" s="9" t="s">
        <v>223</v>
      </c>
      <c r="F153" s="9" t="s">
        <v>245</v>
      </c>
      <c r="G153" s="9" t="s">
        <v>246</v>
      </c>
      <c r="H153" s="9" t="s">
        <v>249</v>
      </c>
    </row>
    <row r="154" customFormat="false" ht="15" hidden="false" customHeight="false" outlineLevel="0" collapsed="false">
      <c r="A154" s="0" t="s">
        <v>180</v>
      </c>
      <c r="B154" s="0" t="n">
        <v>2017</v>
      </c>
      <c r="C154" s="24" t="n">
        <v>3677</v>
      </c>
      <c r="D154" s="9" t="s">
        <v>270</v>
      </c>
      <c r="E154" s="9" t="s">
        <v>223</v>
      </c>
      <c r="F154" s="9" t="s">
        <v>260</v>
      </c>
      <c r="G154" s="9" t="s">
        <v>261</v>
      </c>
      <c r="H154" s="9" t="s">
        <v>226</v>
      </c>
    </row>
    <row r="155" customFormat="false" ht="15" hidden="false" customHeight="false" outlineLevel="0" collapsed="false">
      <c r="A155" s="0" t="s">
        <v>181</v>
      </c>
      <c r="B155" s="0" t="n">
        <v>2017</v>
      </c>
      <c r="C155" s="24" t="n">
        <v>5055</v>
      </c>
      <c r="D155" s="9" t="s">
        <v>271</v>
      </c>
      <c r="E155" s="9" t="s">
        <v>223</v>
      </c>
      <c r="F155" s="9" t="s">
        <v>260</v>
      </c>
      <c r="G155" s="9" t="s">
        <v>261</v>
      </c>
      <c r="H155" s="9" t="s">
        <v>226</v>
      </c>
    </row>
    <row r="156" customFormat="false" ht="15" hidden="false" customHeight="false" outlineLevel="0" collapsed="false">
      <c r="A156" s="0" t="s">
        <v>182</v>
      </c>
      <c r="B156" s="0" t="n">
        <v>2017</v>
      </c>
      <c r="C156" s="24" t="n">
        <v>1150</v>
      </c>
      <c r="D156" s="9" t="s">
        <v>272</v>
      </c>
      <c r="E156" s="9" t="s">
        <v>223</v>
      </c>
      <c r="F156" s="9" t="s">
        <v>260</v>
      </c>
      <c r="G156" s="9" t="s">
        <v>261</v>
      </c>
      <c r="H156" s="9" t="s">
        <v>226</v>
      </c>
    </row>
    <row r="157" customFormat="false" ht="15" hidden="false" customHeight="false" outlineLevel="0" collapsed="false">
      <c r="A157" s="0" t="s">
        <v>183</v>
      </c>
      <c r="B157" s="0" t="n">
        <v>2017</v>
      </c>
      <c r="C157" s="24" t="n">
        <v>2048</v>
      </c>
      <c r="D157" s="9" t="s">
        <v>273</v>
      </c>
      <c r="E157" s="9" t="s">
        <v>223</v>
      </c>
      <c r="F157" s="9" t="s">
        <v>260</v>
      </c>
      <c r="G157" s="9" t="s">
        <v>261</v>
      </c>
      <c r="H157" s="9" t="s">
        <v>226</v>
      </c>
    </row>
    <row r="158" customFormat="false" ht="15" hidden="false" customHeight="false" outlineLevel="0" collapsed="false">
      <c r="A158" s="0" t="s">
        <v>184</v>
      </c>
      <c r="B158" s="0" t="n">
        <v>2017</v>
      </c>
      <c r="C158" s="24" t="n">
        <v>3011</v>
      </c>
      <c r="D158" s="9" t="s">
        <v>274</v>
      </c>
      <c r="E158" s="9" t="s">
        <v>223</v>
      </c>
      <c r="F158" s="9" t="s">
        <v>260</v>
      </c>
      <c r="G158" s="9" t="s">
        <v>261</v>
      </c>
      <c r="H158" s="9" t="s">
        <v>226</v>
      </c>
    </row>
    <row r="159" customFormat="false" ht="15" hidden="false" customHeight="false" outlineLevel="0" collapsed="false">
      <c r="A159" s="0" t="s">
        <v>180</v>
      </c>
      <c r="B159" s="0" t="n">
        <v>2018</v>
      </c>
      <c r="C159" s="24" t="n">
        <v>3498</v>
      </c>
      <c r="D159" s="9" t="s">
        <v>270</v>
      </c>
      <c r="E159" s="9" t="s">
        <v>223</v>
      </c>
      <c r="F159" s="9" t="s">
        <v>224</v>
      </c>
      <c r="G159" s="9" t="s">
        <v>225</v>
      </c>
      <c r="H159" s="9" t="s">
        <v>229</v>
      </c>
    </row>
    <row r="160" customFormat="false" ht="15" hidden="false" customHeight="false" outlineLevel="0" collapsed="false">
      <c r="A160" s="0" t="s">
        <v>181</v>
      </c>
      <c r="B160" s="0" t="n">
        <v>2018</v>
      </c>
      <c r="C160" s="24" t="n">
        <v>5261</v>
      </c>
      <c r="D160" s="9" t="s">
        <v>271</v>
      </c>
      <c r="E160" s="9" t="s">
        <v>223</v>
      </c>
      <c r="F160" s="9" t="s">
        <v>224</v>
      </c>
      <c r="G160" s="9" t="s">
        <v>225</v>
      </c>
      <c r="H160" s="9" t="s">
        <v>229</v>
      </c>
    </row>
    <row r="161" customFormat="false" ht="15" hidden="false" customHeight="false" outlineLevel="0" collapsed="false">
      <c r="A161" s="0" t="s">
        <v>182</v>
      </c>
      <c r="B161" s="0" t="n">
        <v>2018</v>
      </c>
      <c r="C161" s="24" t="n">
        <v>1130</v>
      </c>
      <c r="D161" s="9" t="s">
        <v>272</v>
      </c>
      <c r="E161" s="9" t="s">
        <v>223</v>
      </c>
      <c r="F161" s="9" t="s">
        <v>224</v>
      </c>
      <c r="G161" s="9" t="s">
        <v>225</v>
      </c>
      <c r="H161" s="9" t="s">
        <v>229</v>
      </c>
    </row>
    <row r="162" customFormat="false" ht="15" hidden="false" customHeight="false" outlineLevel="0" collapsed="false">
      <c r="A162" s="0" t="s">
        <v>183</v>
      </c>
      <c r="B162" s="0" t="n">
        <v>2018</v>
      </c>
      <c r="C162" s="24" t="n">
        <v>2279</v>
      </c>
      <c r="D162" s="9" t="s">
        <v>273</v>
      </c>
      <c r="E162" s="9" t="s">
        <v>223</v>
      </c>
      <c r="F162" s="9" t="s">
        <v>224</v>
      </c>
      <c r="G162" s="9" t="s">
        <v>225</v>
      </c>
      <c r="H162" s="9" t="s">
        <v>229</v>
      </c>
    </row>
    <row r="163" customFormat="false" ht="15" hidden="false" customHeight="false" outlineLevel="0" collapsed="false">
      <c r="A163" s="0" t="s">
        <v>184</v>
      </c>
      <c r="B163" s="0" t="n">
        <v>2018</v>
      </c>
      <c r="C163" s="24" t="n">
        <v>3269</v>
      </c>
      <c r="D163" s="9" t="s">
        <v>274</v>
      </c>
      <c r="E163" s="9" t="s">
        <v>223</v>
      </c>
      <c r="F163" s="9" t="s">
        <v>224</v>
      </c>
      <c r="G163" s="9" t="s">
        <v>225</v>
      </c>
      <c r="H163" s="9" t="s">
        <v>229</v>
      </c>
    </row>
    <row r="164" customFormat="false" ht="15" hidden="false" customHeight="false" outlineLevel="0" collapsed="false">
      <c r="A164" s="0" t="s">
        <v>180</v>
      </c>
      <c r="B164" s="0" t="n">
        <v>2019</v>
      </c>
      <c r="C164" s="24" t="n">
        <v>4272</v>
      </c>
      <c r="D164" s="9" t="s">
        <v>270</v>
      </c>
      <c r="E164" s="9" t="s">
        <v>223</v>
      </c>
      <c r="F164" s="9" t="s">
        <v>227</v>
      </c>
      <c r="G164" s="9" t="s">
        <v>228</v>
      </c>
      <c r="H164" s="9" t="s">
        <v>232</v>
      </c>
    </row>
    <row r="165" customFormat="false" ht="15" hidden="false" customHeight="false" outlineLevel="0" collapsed="false">
      <c r="A165" s="0" t="s">
        <v>181</v>
      </c>
      <c r="B165" s="0" t="n">
        <v>2019</v>
      </c>
      <c r="C165" s="24" t="n">
        <v>5622</v>
      </c>
      <c r="D165" s="9" t="s">
        <v>271</v>
      </c>
      <c r="E165" s="9" t="s">
        <v>223</v>
      </c>
      <c r="F165" s="9" t="s">
        <v>227</v>
      </c>
      <c r="G165" s="9" t="s">
        <v>228</v>
      </c>
      <c r="H165" s="9" t="s">
        <v>232</v>
      </c>
    </row>
    <row r="166" customFormat="false" ht="15" hidden="false" customHeight="false" outlineLevel="0" collapsed="false">
      <c r="A166" s="0" t="s">
        <v>182</v>
      </c>
      <c r="B166" s="0" t="n">
        <v>2019</v>
      </c>
      <c r="C166" s="24" t="n">
        <v>1968</v>
      </c>
      <c r="D166" s="9" t="s">
        <v>272</v>
      </c>
      <c r="E166" s="9" t="s">
        <v>223</v>
      </c>
      <c r="F166" s="9" t="s">
        <v>227</v>
      </c>
      <c r="G166" s="9" t="s">
        <v>228</v>
      </c>
      <c r="H166" s="9" t="s">
        <v>232</v>
      </c>
    </row>
    <row r="167" customFormat="false" ht="15" hidden="false" customHeight="false" outlineLevel="0" collapsed="false">
      <c r="A167" s="0" t="s">
        <v>183</v>
      </c>
      <c r="B167" s="0" t="n">
        <v>2019</v>
      </c>
      <c r="C167" s="24" t="n">
        <v>2612</v>
      </c>
      <c r="D167" s="9" t="s">
        <v>273</v>
      </c>
      <c r="E167" s="9" t="s">
        <v>223</v>
      </c>
      <c r="F167" s="9" t="s">
        <v>227</v>
      </c>
      <c r="G167" s="9" t="s">
        <v>228</v>
      </c>
      <c r="H167" s="9" t="s">
        <v>232</v>
      </c>
    </row>
    <row r="168" customFormat="false" ht="15" hidden="false" customHeight="false" outlineLevel="0" collapsed="false">
      <c r="A168" s="0" t="s">
        <v>184</v>
      </c>
      <c r="B168" s="0" t="n">
        <v>2019</v>
      </c>
      <c r="C168" s="24" t="n">
        <v>5010</v>
      </c>
      <c r="D168" s="9" t="s">
        <v>274</v>
      </c>
      <c r="E168" s="9" t="s">
        <v>223</v>
      </c>
      <c r="F168" s="9" t="s">
        <v>227</v>
      </c>
      <c r="G168" s="9" t="s">
        <v>228</v>
      </c>
      <c r="H168" s="9" t="s">
        <v>232</v>
      </c>
    </row>
    <row r="169" customFormat="false" ht="15" hidden="false" customHeight="false" outlineLevel="0" collapsed="false">
      <c r="A169" s="0" t="s">
        <v>180</v>
      </c>
      <c r="B169" s="0" t="n">
        <v>2020</v>
      </c>
      <c r="C169" s="24" t="n">
        <v>2749</v>
      </c>
      <c r="D169" s="9" t="s">
        <v>270</v>
      </c>
      <c r="E169" s="9" t="s">
        <v>223</v>
      </c>
      <c r="F169" s="9" t="s">
        <v>230</v>
      </c>
      <c r="G169" s="9" t="s">
        <v>231</v>
      </c>
      <c r="H169" s="9" t="s">
        <v>235</v>
      </c>
    </row>
    <row r="170" customFormat="false" ht="15" hidden="false" customHeight="false" outlineLevel="0" collapsed="false">
      <c r="A170" s="0" t="s">
        <v>181</v>
      </c>
      <c r="B170" s="0" t="n">
        <v>2020</v>
      </c>
      <c r="C170" s="24" t="n">
        <v>7367</v>
      </c>
      <c r="D170" s="9" t="s">
        <v>271</v>
      </c>
      <c r="E170" s="9" t="s">
        <v>223</v>
      </c>
      <c r="F170" s="9" t="s">
        <v>230</v>
      </c>
      <c r="G170" s="9" t="s">
        <v>231</v>
      </c>
      <c r="H170" s="9" t="s">
        <v>235</v>
      </c>
    </row>
    <row r="171" customFormat="false" ht="15" hidden="false" customHeight="false" outlineLevel="0" collapsed="false">
      <c r="A171" s="0" t="s">
        <v>182</v>
      </c>
      <c r="B171" s="0" t="n">
        <v>2020</v>
      </c>
      <c r="C171" s="24" t="n">
        <v>1653</v>
      </c>
      <c r="D171" s="9" t="s">
        <v>272</v>
      </c>
      <c r="E171" s="9" t="s">
        <v>223</v>
      </c>
      <c r="F171" s="9" t="s">
        <v>230</v>
      </c>
      <c r="G171" s="9" t="s">
        <v>231</v>
      </c>
      <c r="H171" s="9" t="s">
        <v>235</v>
      </c>
    </row>
    <row r="172" customFormat="false" ht="15" hidden="false" customHeight="false" outlineLevel="0" collapsed="false">
      <c r="A172" s="0" t="s">
        <v>183</v>
      </c>
      <c r="B172" s="0" t="n">
        <v>2020</v>
      </c>
      <c r="C172" s="24" t="n">
        <v>2248</v>
      </c>
      <c r="D172" s="9" t="s">
        <v>273</v>
      </c>
      <c r="E172" s="9" t="s">
        <v>223</v>
      </c>
      <c r="F172" s="9" t="s">
        <v>230</v>
      </c>
      <c r="G172" s="9" t="s">
        <v>231</v>
      </c>
      <c r="H172" s="9" t="s">
        <v>235</v>
      </c>
    </row>
    <row r="173" customFormat="false" ht="15" hidden="false" customHeight="false" outlineLevel="0" collapsed="false">
      <c r="A173" s="0" t="s">
        <v>184</v>
      </c>
      <c r="B173" s="0" t="n">
        <v>2020</v>
      </c>
      <c r="C173" s="24" t="n">
        <v>5184</v>
      </c>
      <c r="D173" s="9" t="s">
        <v>274</v>
      </c>
      <c r="E173" s="9" t="s">
        <v>223</v>
      </c>
      <c r="F173" s="9" t="s">
        <v>230</v>
      </c>
      <c r="G173" s="9" t="s">
        <v>231</v>
      </c>
      <c r="H173" s="9" t="s">
        <v>235</v>
      </c>
    </row>
    <row r="174" customFormat="false" ht="15" hidden="false" customHeight="false" outlineLevel="0" collapsed="false">
      <c r="A174" s="0" t="s">
        <v>180</v>
      </c>
      <c r="B174" s="0" t="n">
        <v>2021</v>
      </c>
      <c r="C174" s="24" t="n">
        <v>4463</v>
      </c>
      <c r="D174" s="9" t="s">
        <v>270</v>
      </c>
      <c r="E174" s="9" t="s">
        <v>223</v>
      </c>
      <c r="F174" s="9" t="s">
        <v>233</v>
      </c>
      <c r="G174" s="9" t="s">
        <v>234</v>
      </c>
      <c r="H174" s="9" t="s">
        <v>238</v>
      </c>
    </row>
    <row r="175" customFormat="false" ht="15" hidden="false" customHeight="false" outlineLevel="0" collapsed="false">
      <c r="A175" s="0" t="s">
        <v>181</v>
      </c>
      <c r="B175" s="0" t="n">
        <v>2021</v>
      </c>
      <c r="C175" s="24" t="n">
        <v>6854</v>
      </c>
      <c r="D175" s="9" t="s">
        <v>271</v>
      </c>
      <c r="E175" s="9" t="s">
        <v>223</v>
      </c>
      <c r="F175" s="9" t="s">
        <v>233</v>
      </c>
      <c r="G175" s="9" t="s">
        <v>234</v>
      </c>
      <c r="H175" s="9" t="s">
        <v>238</v>
      </c>
    </row>
    <row r="176" customFormat="false" ht="15" hidden="false" customHeight="false" outlineLevel="0" collapsed="false">
      <c r="A176" s="0" t="s">
        <v>182</v>
      </c>
      <c r="B176" s="0" t="n">
        <v>2021</v>
      </c>
      <c r="C176" s="24" t="n">
        <v>1498</v>
      </c>
      <c r="D176" s="9" t="s">
        <v>272</v>
      </c>
      <c r="E176" s="9" t="s">
        <v>223</v>
      </c>
      <c r="F176" s="9" t="s">
        <v>233</v>
      </c>
      <c r="G176" s="9" t="s">
        <v>234</v>
      </c>
      <c r="H176" s="9" t="s">
        <v>238</v>
      </c>
    </row>
    <row r="177" customFormat="false" ht="15" hidden="false" customHeight="false" outlineLevel="0" collapsed="false">
      <c r="A177" s="0" t="s">
        <v>183</v>
      </c>
      <c r="B177" s="0" t="n">
        <v>2021</v>
      </c>
      <c r="C177" s="24" t="n">
        <v>2836</v>
      </c>
      <c r="D177" s="9" t="s">
        <v>273</v>
      </c>
      <c r="E177" s="9" t="s">
        <v>223</v>
      </c>
      <c r="F177" s="9" t="s">
        <v>233</v>
      </c>
      <c r="G177" s="9" t="s">
        <v>234</v>
      </c>
      <c r="H177" s="9" t="s">
        <v>238</v>
      </c>
    </row>
    <row r="178" customFormat="false" ht="15" hidden="false" customHeight="false" outlineLevel="0" collapsed="false">
      <c r="A178" s="0" t="s">
        <v>184</v>
      </c>
      <c r="B178" s="0" t="n">
        <v>2021</v>
      </c>
      <c r="C178" s="24" t="n">
        <v>6063</v>
      </c>
      <c r="D178" s="9" t="s">
        <v>274</v>
      </c>
      <c r="E178" s="9" t="s">
        <v>223</v>
      </c>
      <c r="F178" s="9" t="s">
        <v>233</v>
      </c>
      <c r="G178" s="9" t="s">
        <v>234</v>
      </c>
      <c r="H178" s="9" t="s">
        <v>238</v>
      </c>
    </row>
    <row r="179" customFormat="false" ht="15" hidden="false" customHeight="false" outlineLevel="0" collapsed="false">
      <c r="A179" s="0" t="s">
        <v>180</v>
      </c>
      <c r="B179" s="0" t="n">
        <v>2022</v>
      </c>
      <c r="C179" s="24" t="n">
        <v>4667</v>
      </c>
      <c r="D179" s="9" t="s">
        <v>270</v>
      </c>
      <c r="E179" s="9" t="s">
        <v>223</v>
      </c>
      <c r="F179" s="9" t="s">
        <v>236</v>
      </c>
      <c r="G179" s="9" t="s">
        <v>237</v>
      </c>
      <c r="H179" s="9" t="s">
        <v>241</v>
      </c>
    </row>
    <row r="180" customFormat="false" ht="15" hidden="false" customHeight="false" outlineLevel="0" collapsed="false">
      <c r="A180" s="0" t="s">
        <v>181</v>
      </c>
      <c r="B180" s="0" t="n">
        <v>2022</v>
      </c>
      <c r="C180" s="24" t="n">
        <v>8420</v>
      </c>
      <c r="D180" s="9" t="s">
        <v>271</v>
      </c>
      <c r="E180" s="9" t="s">
        <v>223</v>
      </c>
      <c r="F180" s="9" t="s">
        <v>236</v>
      </c>
      <c r="G180" s="9" t="s">
        <v>237</v>
      </c>
      <c r="H180" s="9" t="s">
        <v>241</v>
      </c>
    </row>
    <row r="181" customFormat="false" ht="15" hidden="false" customHeight="false" outlineLevel="0" collapsed="false">
      <c r="A181" s="0" t="s">
        <v>182</v>
      </c>
      <c r="B181" s="0" t="n">
        <v>2022</v>
      </c>
      <c r="C181" s="24" t="n">
        <v>2129</v>
      </c>
      <c r="D181" s="9" t="s">
        <v>272</v>
      </c>
      <c r="E181" s="9" t="s">
        <v>223</v>
      </c>
      <c r="F181" s="9" t="s">
        <v>236</v>
      </c>
      <c r="G181" s="9" t="s">
        <v>237</v>
      </c>
      <c r="H181" s="9" t="s">
        <v>241</v>
      </c>
    </row>
    <row r="182" customFormat="false" ht="15" hidden="false" customHeight="false" outlineLevel="0" collapsed="false">
      <c r="A182" s="0" t="s">
        <v>183</v>
      </c>
      <c r="B182" s="0" t="n">
        <v>2022</v>
      </c>
      <c r="C182" s="24" t="n">
        <v>3358</v>
      </c>
      <c r="D182" s="9" t="s">
        <v>273</v>
      </c>
      <c r="E182" s="9" t="s">
        <v>223</v>
      </c>
      <c r="F182" s="9" t="s">
        <v>236</v>
      </c>
      <c r="G182" s="9" t="s">
        <v>237</v>
      </c>
      <c r="H182" s="9" t="s">
        <v>241</v>
      </c>
    </row>
    <row r="183" customFormat="false" ht="15" hidden="false" customHeight="false" outlineLevel="0" collapsed="false">
      <c r="A183" s="0" t="s">
        <v>184</v>
      </c>
      <c r="B183" s="0" t="n">
        <v>2022</v>
      </c>
      <c r="C183" s="24" t="n">
        <v>6220</v>
      </c>
      <c r="D183" s="9" t="s">
        <v>274</v>
      </c>
      <c r="E183" s="9" t="s">
        <v>223</v>
      </c>
      <c r="F183" s="9" t="s">
        <v>236</v>
      </c>
      <c r="G183" s="9" t="s">
        <v>237</v>
      </c>
      <c r="H183" s="9" t="s">
        <v>241</v>
      </c>
    </row>
    <row r="184" customFormat="false" ht="15" hidden="false" customHeight="false" outlineLevel="0" collapsed="false">
      <c r="A184" s="0" t="s">
        <v>180</v>
      </c>
      <c r="B184" s="0" t="n">
        <v>2023</v>
      </c>
      <c r="C184" s="24" t="n">
        <v>4131</v>
      </c>
      <c r="D184" s="9" t="s">
        <v>270</v>
      </c>
      <c r="E184" s="9" t="s">
        <v>223</v>
      </c>
      <c r="F184" s="9" t="s">
        <v>239</v>
      </c>
      <c r="G184" s="9" t="s">
        <v>240</v>
      </c>
      <c r="H184" s="9" t="s">
        <v>244</v>
      </c>
    </row>
    <row r="185" customFormat="false" ht="15" hidden="false" customHeight="false" outlineLevel="0" collapsed="false">
      <c r="A185" s="0" t="s">
        <v>181</v>
      </c>
      <c r="B185" s="0" t="n">
        <v>2023</v>
      </c>
      <c r="C185" s="24" t="n">
        <v>8454</v>
      </c>
      <c r="D185" s="9" t="s">
        <v>271</v>
      </c>
      <c r="E185" s="9" t="s">
        <v>223</v>
      </c>
      <c r="F185" s="9" t="s">
        <v>242</v>
      </c>
      <c r="G185" s="9" t="s">
        <v>243</v>
      </c>
      <c r="H185" s="9" t="s">
        <v>244</v>
      </c>
    </row>
    <row r="186" customFormat="false" ht="15" hidden="false" customHeight="false" outlineLevel="0" collapsed="false">
      <c r="A186" s="0" t="s">
        <v>182</v>
      </c>
      <c r="B186" s="0" t="n">
        <v>2023</v>
      </c>
      <c r="C186" s="24" t="n">
        <v>1942</v>
      </c>
      <c r="D186" s="9" t="s">
        <v>272</v>
      </c>
      <c r="E186" s="9" t="s">
        <v>223</v>
      </c>
      <c r="F186" s="9" t="s">
        <v>239</v>
      </c>
      <c r="G186" s="9" t="s">
        <v>240</v>
      </c>
      <c r="H186" s="9" t="s">
        <v>244</v>
      </c>
    </row>
    <row r="187" customFormat="false" ht="15" hidden="false" customHeight="false" outlineLevel="0" collapsed="false">
      <c r="A187" s="0" t="s">
        <v>183</v>
      </c>
      <c r="B187" s="0" t="n">
        <v>2023</v>
      </c>
      <c r="C187" s="24" t="n">
        <v>2862</v>
      </c>
      <c r="D187" s="9" t="s">
        <v>273</v>
      </c>
      <c r="E187" s="9" t="s">
        <v>223</v>
      </c>
      <c r="F187" s="9" t="s">
        <v>239</v>
      </c>
      <c r="G187" s="9" t="s">
        <v>240</v>
      </c>
      <c r="H187" s="9" t="s">
        <v>244</v>
      </c>
    </row>
    <row r="188" customFormat="false" ht="15" hidden="false" customHeight="false" outlineLevel="0" collapsed="false">
      <c r="A188" s="0" t="s">
        <v>184</v>
      </c>
      <c r="B188" s="0" t="n">
        <v>2023</v>
      </c>
      <c r="C188" s="24" t="n">
        <v>5723</v>
      </c>
      <c r="D188" s="9" t="s">
        <v>274</v>
      </c>
      <c r="E188" s="9" t="s">
        <v>223</v>
      </c>
      <c r="F188" s="9" t="s">
        <v>239</v>
      </c>
      <c r="G188" s="9" t="s">
        <v>240</v>
      </c>
      <c r="H188" s="9" t="s">
        <v>244</v>
      </c>
    </row>
    <row r="189" customFormat="false" ht="15" hidden="false" customHeight="false" outlineLevel="0" collapsed="false">
      <c r="A189" s="0" t="s">
        <v>180</v>
      </c>
      <c r="B189" s="0" t="n">
        <v>2024</v>
      </c>
      <c r="C189" s="24" t="n">
        <v>4427</v>
      </c>
      <c r="D189" s="9" t="s">
        <v>270</v>
      </c>
      <c r="E189" s="9" t="s">
        <v>223</v>
      </c>
      <c r="F189" s="9" t="s">
        <v>242</v>
      </c>
      <c r="G189" s="9" t="s">
        <v>243</v>
      </c>
      <c r="H189" s="9" t="s">
        <v>247</v>
      </c>
    </row>
    <row r="190" customFormat="false" ht="15" hidden="false" customHeight="false" outlineLevel="0" collapsed="false">
      <c r="A190" s="0" t="s">
        <v>181</v>
      </c>
      <c r="B190" s="0" t="n">
        <v>2024</v>
      </c>
      <c r="C190" s="24" t="n">
        <v>7519</v>
      </c>
      <c r="D190" s="9" t="s">
        <v>271</v>
      </c>
      <c r="E190" s="9" t="s">
        <v>223</v>
      </c>
      <c r="F190" s="9" t="s">
        <v>245</v>
      </c>
      <c r="G190" s="9" t="s">
        <v>246</v>
      </c>
      <c r="H190" s="9" t="s">
        <v>247</v>
      </c>
    </row>
    <row r="191" customFormat="false" ht="15" hidden="false" customHeight="false" outlineLevel="0" collapsed="false">
      <c r="A191" s="0" t="s">
        <v>182</v>
      </c>
      <c r="B191" s="0" t="n">
        <v>2024</v>
      </c>
      <c r="C191" s="24" t="n">
        <v>1854</v>
      </c>
      <c r="D191" s="9" t="s">
        <v>272</v>
      </c>
      <c r="E191" s="9" t="s">
        <v>223</v>
      </c>
      <c r="F191" s="9" t="s">
        <v>242</v>
      </c>
      <c r="G191" s="9" t="s">
        <v>243</v>
      </c>
      <c r="H191" s="9" t="s">
        <v>247</v>
      </c>
    </row>
    <row r="192" customFormat="false" ht="15" hidden="false" customHeight="false" outlineLevel="0" collapsed="false">
      <c r="A192" s="0" t="s">
        <v>183</v>
      </c>
      <c r="B192" s="0" t="n">
        <v>2024</v>
      </c>
      <c r="C192" s="24" t="n">
        <v>2851</v>
      </c>
      <c r="D192" s="9" t="s">
        <v>273</v>
      </c>
      <c r="E192" s="9" t="s">
        <v>223</v>
      </c>
      <c r="F192" s="9" t="s">
        <v>242</v>
      </c>
      <c r="G192" s="9" t="s">
        <v>243</v>
      </c>
      <c r="H192" s="9" t="s">
        <v>247</v>
      </c>
    </row>
    <row r="193" customFormat="false" ht="15" hidden="false" customHeight="false" outlineLevel="0" collapsed="false">
      <c r="A193" s="0" t="s">
        <v>184</v>
      </c>
      <c r="B193" s="0" t="n">
        <v>2024</v>
      </c>
      <c r="C193" s="24" t="n">
        <v>5725</v>
      </c>
      <c r="D193" s="9" t="s">
        <v>274</v>
      </c>
      <c r="E193" s="9" t="s">
        <v>223</v>
      </c>
      <c r="F193" s="9" t="s">
        <v>242</v>
      </c>
      <c r="G193" s="9" t="s">
        <v>243</v>
      </c>
      <c r="H193" s="9" t="s">
        <v>247</v>
      </c>
    </row>
    <row r="194" customFormat="false" ht="15" hidden="false" customHeight="false" outlineLevel="0" collapsed="false">
      <c r="A194" s="0" t="s">
        <v>180</v>
      </c>
      <c r="B194" s="0" t="n">
        <v>2025</v>
      </c>
      <c r="C194" s="24" t="n">
        <v>4717</v>
      </c>
      <c r="D194" s="9" t="s">
        <v>270</v>
      </c>
      <c r="E194" s="9" t="s">
        <v>223</v>
      </c>
      <c r="F194" s="9" t="s">
        <v>245</v>
      </c>
      <c r="G194" s="9" t="s">
        <v>246</v>
      </c>
      <c r="H194" s="9" t="s">
        <v>248</v>
      </c>
    </row>
    <row r="195" customFormat="false" ht="15" hidden="false" customHeight="false" outlineLevel="0" collapsed="false">
      <c r="A195" s="0" t="s">
        <v>181</v>
      </c>
      <c r="B195" s="0" t="n">
        <v>2025</v>
      </c>
      <c r="C195" s="24" t="n">
        <v>7489</v>
      </c>
      <c r="D195" s="9" t="s">
        <v>271</v>
      </c>
      <c r="E195" s="9" t="s">
        <v>223</v>
      </c>
      <c r="F195" s="9" t="s">
        <v>245</v>
      </c>
      <c r="G195" s="9" t="s">
        <v>246</v>
      </c>
      <c r="H195" s="9" t="s">
        <v>248</v>
      </c>
    </row>
    <row r="196" customFormat="false" ht="15" hidden="false" customHeight="false" outlineLevel="0" collapsed="false">
      <c r="A196" s="0" t="s">
        <v>182</v>
      </c>
      <c r="B196" s="0" t="n">
        <v>2025</v>
      </c>
      <c r="C196" s="24" t="n">
        <v>2005</v>
      </c>
      <c r="D196" s="9" t="s">
        <v>272</v>
      </c>
      <c r="E196" s="9" t="s">
        <v>223</v>
      </c>
      <c r="F196" s="9" t="s">
        <v>245</v>
      </c>
      <c r="G196" s="9" t="s">
        <v>246</v>
      </c>
      <c r="H196" s="9" t="s">
        <v>248</v>
      </c>
    </row>
    <row r="197" customFormat="false" ht="15" hidden="false" customHeight="false" outlineLevel="0" collapsed="false">
      <c r="A197" s="0" t="s">
        <v>183</v>
      </c>
      <c r="B197" s="0" t="n">
        <v>2025</v>
      </c>
      <c r="C197" s="24" t="n">
        <v>3479</v>
      </c>
      <c r="D197" s="9" t="s">
        <v>273</v>
      </c>
      <c r="E197" s="9" t="s">
        <v>223</v>
      </c>
      <c r="F197" s="9" t="s">
        <v>245</v>
      </c>
      <c r="G197" s="9" t="s">
        <v>246</v>
      </c>
      <c r="H197" s="9" t="s">
        <v>248</v>
      </c>
    </row>
    <row r="198" customFormat="false" ht="15" hidden="false" customHeight="false" outlineLevel="0" collapsed="false">
      <c r="A198" s="0" t="s">
        <v>184</v>
      </c>
      <c r="B198" s="0" t="n">
        <v>2025</v>
      </c>
      <c r="C198" s="24" t="n">
        <v>5916</v>
      </c>
      <c r="D198" s="9" t="s">
        <v>274</v>
      </c>
      <c r="E198" s="9" t="s">
        <v>223</v>
      </c>
      <c r="F198" s="9" t="s">
        <v>245</v>
      </c>
      <c r="G198" s="9" t="s">
        <v>246</v>
      </c>
      <c r="H198" s="9" t="s">
        <v>248</v>
      </c>
    </row>
    <row r="199" customFormat="false" ht="15" hidden="false" customHeight="false" outlineLevel="0" collapsed="false">
      <c r="A199" s="0" t="s">
        <v>180</v>
      </c>
      <c r="B199" s="0" t="n">
        <v>2026</v>
      </c>
      <c r="C199" s="24" t="n">
        <v>5931</v>
      </c>
      <c r="D199" s="9" t="s">
        <v>270</v>
      </c>
      <c r="E199" s="9" t="s">
        <v>223</v>
      </c>
      <c r="F199" s="9" t="s">
        <v>245</v>
      </c>
      <c r="G199" s="9" t="s">
        <v>246</v>
      </c>
      <c r="H199" s="9" t="s">
        <v>249</v>
      </c>
    </row>
    <row r="200" customFormat="false" ht="15" hidden="false" customHeight="false" outlineLevel="0" collapsed="false">
      <c r="A200" s="0" t="s">
        <v>181</v>
      </c>
      <c r="B200" s="0" t="n">
        <v>2026</v>
      </c>
      <c r="C200" s="24" t="n">
        <v>7501</v>
      </c>
      <c r="D200" s="9" t="s">
        <v>271</v>
      </c>
      <c r="E200" s="9" t="s">
        <v>223</v>
      </c>
      <c r="F200" s="9" t="s">
        <v>245</v>
      </c>
      <c r="G200" s="9" t="s">
        <v>246</v>
      </c>
      <c r="H200" s="9" t="s">
        <v>249</v>
      </c>
    </row>
    <row r="201" customFormat="false" ht="15" hidden="false" customHeight="false" outlineLevel="0" collapsed="false">
      <c r="A201" s="0" t="s">
        <v>182</v>
      </c>
      <c r="B201" s="0" t="n">
        <v>2026</v>
      </c>
      <c r="C201" s="24" t="n">
        <v>2144</v>
      </c>
      <c r="D201" s="9" t="s">
        <v>272</v>
      </c>
      <c r="E201" s="9" t="s">
        <v>223</v>
      </c>
      <c r="F201" s="9" t="s">
        <v>245</v>
      </c>
      <c r="G201" s="9" t="s">
        <v>246</v>
      </c>
      <c r="H201" s="9" t="s">
        <v>249</v>
      </c>
    </row>
    <row r="202" customFormat="false" ht="15" hidden="false" customHeight="false" outlineLevel="0" collapsed="false">
      <c r="A202" s="0" t="s">
        <v>183</v>
      </c>
      <c r="B202" s="0" t="n">
        <v>2026</v>
      </c>
      <c r="C202" s="24" t="n">
        <v>3600</v>
      </c>
      <c r="D202" s="9" t="s">
        <v>273</v>
      </c>
      <c r="E202" s="9" t="s">
        <v>223</v>
      </c>
      <c r="F202" s="9" t="s">
        <v>245</v>
      </c>
      <c r="G202" s="9" t="s">
        <v>246</v>
      </c>
      <c r="H202" s="9" t="s">
        <v>249</v>
      </c>
    </row>
    <row r="203" customFormat="false" ht="15" hidden="false" customHeight="false" outlineLevel="0" collapsed="false">
      <c r="A203" s="0" t="s">
        <v>184</v>
      </c>
      <c r="B203" s="0" t="n">
        <v>2026</v>
      </c>
      <c r="C203" s="24" t="n">
        <v>6092</v>
      </c>
      <c r="D203" s="9" t="s">
        <v>274</v>
      </c>
      <c r="E203" s="9" t="s">
        <v>223</v>
      </c>
      <c r="F203" s="9" t="s">
        <v>245</v>
      </c>
      <c r="G203" s="9" t="s">
        <v>246</v>
      </c>
      <c r="H203" s="9" t="s">
        <v>249</v>
      </c>
    </row>
    <row r="204" customFormat="false" ht="15" hidden="false" customHeight="false" outlineLevel="0" collapsed="false">
      <c r="A204" s="0" t="s">
        <v>180</v>
      </c>
      <c r="B204" s="0" t="n">
        <v>2017</v>
      </c>
      <c r="C204" s="24" t="n">
        <v>3677</v>
      </c>
      <c r="D204" s="9" t="s">
        <v>270</v>
      </c>
      <c r="E204" s="9" t="s">
        <v>223</v>
      </c>
      <c r="F204" s="9" t="s">
        <v>260</v>
      </c>
      <c r="G204" s="9" t="s">
        <v>261</v>
      </c>
      <c r="H204" s="9" t="s">
        <v>226</v>
      </c>
    </row>
    <row r="205" customFormat="false" ht="15" hidden="false" customHeight="false" outlineLevel="0" collapsed="false">
      <c r="A205" s="0" t="s">
        <v>180</v>
      </c>
      <c r="B205" s="0" t="n">
        <v>2018</v>
      </c>
      <c r="C205" s="24" t="n">
        <v>3498</v>
      </c>
      <c r="D205" s="9" t="s">
        <v>270</v>
      </c>
      <c r="E205" s="9" t="s">
        <v>223</v>
      </c>
      <c r="F205" s="9" t="s">
        <v>224</v>
      </c>
      <c r="G205" s="9" t="s">
        <v>225</v>
      </c>
      <c r="H205" s="9" t="s">
        <v>229</v>
      </c>
    </row>
    <row r="206" customFormat="false" ht="15" hidden="false" customHeight="false" outlineLevel="0" collapsed="false">
      <c r="A206" s="0" t="s">
        <v>180</v>
      </c>
      <c r="B206" s="0" t="n">
        <v>2019</v>
      </c>
      <c r="C206" s="24" t="n">
        <v>4272</v>
      </c>
      <c r="D206" s="9" t="s">
        <v>270</v>
      </c>
      <c r="E206" s="9" t="s">
        <v>223</v>
      </c>
      <c r="F206" s="9" t="s">
        <v>227</v>
      </c>
      <c r="G206" s="9" t="s">
        <v>228</v>
      </c>
      <c r="H206" s="9" t="s">
        <v>232</v>
      </c>
    </row>
    <row r="207" customFormat="false" ht="15" hidden="false" customHeight="false" outlineLevel="0" collapsed="false">
      <c r="A207" s="0" t="s">
        <v>180</v>
      </c>
      <c r="B207" s="0" t="n">
        <v>2020</v>
      </c>
      <c r="C207" s="24" t="n">
        <v>2749</v>
      </c>
      <c r="D207" s="9" t="s">
        <v>270</v>
      </c>
      <c r="E207" s="9" t="s">
        <v>223</v>
      </c>
      <c r="F207" s="9" t="s">
        <v>230</v>
      </c>
      <c r="G207" s="9" t="s">
        <v>231</v>
      </c>
      <c r="H207" s="9" t="s">
        <v>235</v>
      </c>
    </row>
    <row r="208" customFormat="false" ht="15" hidden="false" customHeight="false" outlineLevel="0" collapsed="false">
      <c r="A208" s="0" t="s">
        <v>180</v>
      </c>
      <c r="B208" s="0" t="n">
        <v>2021</v>
      </c>
      <c r="C208" s="24" t="n">
        <v>4463</v>
      </c>
      <c r="D208" s="9" t="s">
        <v>270</v>
      </c>
      <c r="E208" s="9" t="s">
        <v>223</v>
      </c>
      <c r="F208" s="9" t="s">
        <v>233</v>
      </c>
      <c r="G208" s="9" t="s">
        <v>234</v>
      </c>
      <c r="H208" s="9" t="s">
        <v>238</v>
      </c>
    </row>
    <row r="209" customFormat="false" ht="15" hidden="false" customHeight="false" outlineLevel="0" collapsed="false">
      <c r="A209" s="0" t="s">
        <v>180</v>
      </c>
      <c r="B209" s="0" t="n">
        <v>2022</v>
      </c>
      <c r="C209" s="24" t="n">
        <v>4667</v>
      </c>
      <c r="D209" s="9" t="s">
        <v>270</v>
      </c>
      <c r="E209" s="9" t="s">
        <v>223</v>
      </c>
      <c r="F209" s="9" t="s">
        <v>236</v>
      </c>
      <c r="G209" s="9" t="s">
        <v>237</v>
      </c>
      <c r="H209" s="9" t="s">
        <v>241</v>
      </c>
    </row>
    <row r="210" customFormat="false" ht="15" hidden="false" customHeight="false" outlineLevel="0" collapsed="false">
      <c r="A210" s="0" t="s">
        <v>180</v>
      </c>
      <c r="B210" s="0" t="n">
        <v>2023</v>
      </c>
      <c r="C210" s="24" t="n">
        <v>4131</v>
      </c>
      <c r="D210" s="9" t="s">
        <v>270</v>
      </c>
      <c r="E210" s="9" t="s">
        <v>223</v>
      </c>
      <c r="F210" s="9" t="s">
        <v>239</v>
      </c>
      <c r="G210" s="9" t="s">
        <v>240</v>
      </c>
      <c r="H210" s="9" t="s">
        <v>244</v>
      </c>
    </row>
    <row r="211" customFormat="false" ht="15" hidden="false" customHeight="false" outlineLevel="0" collapsed="false">
      <c r="A211" s="0" t="s">
        <v>180</v>
      </c>
      <c r="B211" s="0" t="n">
        <v>2024</v>
      </c>
      <c r="C211" s="24" t="n">
        <v>4427</v>
      </c>
      <c r="D211" s="9" t="s">
        <v>270</v>
      </c>
      <c r="E211" s="9" t="s">
        <v>223</v>
      </c>
      <c r="F211" s="9" t="s">
        <v>242</v>
      </c>
      <c r="G211" s="9" t="s">
        <v>243</v>
      </c>
      <c r="H211" s="9" t="s">
        <v>247</v>
      </c>
    </row>
    <row r="212" customFormat="false" ht="15" hidden="false" customHeight="false" outlineLevel="0" collapsed="false">
      <c r="A212" s="0" t="s">
        <v>180</v>
      </c>
      <c r="B212" s="0" t="n">
        <v>2025</v>
      </c>
      <c r="C212" s="24" t="n">
        <v>4717</v>
      </c>
      <c r="D212" s="9" t="s">
        <v>270</v>
      </c>
      <c r="E212" s="9" t="s">
        <v>223</v>
      </c>
      <c r="F212" s="9" t="s">
        <v>245</v>
      </c>
      <c r="G212" s="9" t="s">
        <v>246</v>
      </c>
      <c r="H212" s="9" t="s">
        <v>248</v>
      </c>
    </row>
    <row r="213" customFormat="false" ht="15" hidden="false" customHeight="false" outlineLevel="0" collapsed="false">
      <c r="A213" s="0" t="s">
        <v>180</v>
      </c>
      <c r="B213" s="0" t="n">
        <v>2026</v>
      </c>
      <c r="C213" s="24" t="n">
        <v>5931</v>
      </c>
      <c r="D213" s="9" t="s">
        <v>270</v>
      </c>
      <c r="E213" s="9" t="s">
        <v>223</v>
      </c>
      <c r="F213" s="9" t="s">
        <v>245</v>
      </c>
      <c r="G213" s="9" t="s">
        <v>246</v>
      </c>
      <c r="H213" s="9" t="s">
        <v>249</v>
      </c>
    </row>
    <row r="214" customFormat="false" ht="15" hidden="false" customHeight="false" outlineLevel="0" collapsed="false">
      <c r="A214" s="0" t="s">
        <v>181</v>
      </c>
      <c r="B214" s="0" t="n">
        <v>2017</v>
      </c>
      <c r="C214" s="24" t="n">
        <v>5055</v>
      </c>
      <c r="D214" s="9" t="s">
        <v>271</v>
      </c>
      <c r="E214" s="9" t="s">
        <v>223</v>
      </c>
      <c r="F214" s="9" t="s">
        <v>260</v>
      </c>
      <c r="G214" s="9" t="s">
        <v>261</v>
      </c>
      <c r="H214" s="9" t="s">
        <v>226</v>
      </c>
    </row>
    <row r="215" customFormat="false" ht="15" hidden="false" customHeight="false" outlineLevel="0" collapsed="false">
      <c r="A215" s="0" t="s">
        <v>181</v>
      </c>
      <c r="B215" s="0" t="n">
        <v>2018</v>
      </c>
      <c r="C215" s="24" t="n">
        <v>5261</v>
      </c>
      <c r="D215" s="9" t="s">
        <v>271</v>
      </c>
      <c r="E215" s="9" t="s">
        <v>223</v>
      </c>
      <c r="F215" s="9" t="s">
        <v>224</v>
      </c>
      <c r="G215" s="9" t="s">
        <v>225</v>
      </c>
      <c r="H215" s="9" t="s">
        <v>229</v>
      </c>
    </row>
    <row r="216" customFormat="false" ht="15" hidden="false" customHeight="false" outlineLevel="0" collapsed="false">
      <c r="A216" s="0" t="s">
        <v>181</v>
      </c>
      <c r="B216" s="0" t="n">
        <v>2019</v>
      </c>
      <c r="C216" s="24" t="n">
        <v>5622</v>
      </c>
      <c r="D216" s="9" t="s">
        <v>271</v>
      </c>
      <c r="E216" s="9" t="s">
        <v>223</v>
      </c>
      <c r="F216" s="9" t="s">
        <v>227</v>
      </c>
      <c r="G216" s="9" t="s">
        <v>228</v>
      </c>
      <c r="H216" s="9" t="s">
        <v>232</v>
      </c>
    </row>
    <row r="217" customFormat="false" ht="15" hidden="false" customHeight="false" outlineLevel="0" collapsed="false">
      <c r="A217" s="0" t="s">
        <v>181</v>
      </c>
      <c r="B217" s="0" t="n">
        <v>2020</v>
      </c>
      <c r="C217" s="24" t="n">
        <v>7367</v>
      </c>
      <c r="D217" s="9" t="s">
        <v>271</v>
      </c>
      <c r="E217" s="9" t="s">
        <v>223</v>
      </c>
      <c r="F217" s="9" t="s">
        <v>230</v>
      </c>
      <c r="G217" s="9" t="s">
        <v>231</v>
      </c>
      <c r="H217" s="9" t="s">
        <v>235</v>
      </c>
    </row>
    <row r="218" customFormat="false" ht="15" hidden="false" customHeight="false" outlineLevel="0" collapsed="false">
      <c r="A218" s="0" t="s">
        <v>181</v>
      </c>
      <c r="B218" s="0" t="n">
        <v>2021</v>
      </c>
      <c r="C218" s="24" t="n">
        <v>6854</v>
      </c>
      <c r="D218" s="9" t="s">
        <v>271</v>
      </c>
      <c r="E218" s="9" t="s">
        <v>223</v>
      </c>
      <c r="F218" s="9" t="s">
        <v>233</v>
      </c>
      <c r="G218" s="9" t="s">
        <v>234</v>
      </c>
      <c r="H218" s="9" t="s">
        <v>238</v>
      </c>
    </row>
    <row r="219" customFormat="false" ht="15" hidden="false" customHeight="false" outlineLevel="0" collapsed="false">
      <c r="A219" s="0" t="s">
        <v>181</v>
      </c>
      <c r="B219" s="0" t="n">
        <v>2022</v>
      </c>
      <c r="C219" s="24" t="n">
        <v>8420</v>
      </c>
      <c r="D219" s="9" t="s">
        <v>271</v>
      </c>
      <c r="E219" s="9" t="s">
        <v>223</v>
      </c>
      <c r="F219" s="9" t="s">
        <v>236</v>
      </c>
      <c r="G219" s="9" t="s">
        <v>237</v>
      </c>
      <c r="H219" s="9" t="s">
        <v>241</v>
      </c>
    </row>
    <row r="220" customFormat="false" ht="15" hidden="false" customHeight="false" outlineLevel="0" collapsed="false">
      <c r="A220" s="0" t="s">
        <v>181</v>
      </c>
      <c r="B220" s="0" t="n">
        <v>2023</v>
      </c>
      <c r="C220" s="24" t="n">
        <v>8454</v>
      </c>
      <c r="D220" s="9" t="s">
        <v>271</v>
      </c>
      <c r="E220" s="9" t="s">
        <v>223</v>
      </c>
      <c r="F220" s="9" t="s">
        <v>242</v>
      </c>
      <c r="G220" s="9" t="s">
        <v>243</v>
      </c>
      <c r="H220" s="9" t="s">
        <v>244</v>
      </c>
    </row>
    <row r="221" customFormat="false" ht="15" hidden="false" customHeight="false" outlineLevel="0" collapsed="false">
      <c r="A221" s="0" t="s">
        <v>181</v>
      </c>
      <c r="B221" s="0" t="n">
        <v>2024</v>
      </c>
      <c r="C221" s="24" t="n">
        <v>7519</v>
      </c>
      <c r="D221" s="9" t="s">
        <v>271</v>
      </c>
      <c r="E221" s="9" t="s">
        <v>223</v>
      </c>
      <c r="F221" s="9" t="s">
        <v>245</v>
      </c>
      <c r="G221" s="9" t="s">
        <v>246</v>
      </c>
      <c r="H221" s="9" t="s">
        <v>247</v>
      </c>
    </row>
    <row r="222" customFormat="false" ht="15" hidden="false" customHeight="false" outlineLevel="0" collapsed="false">
      <c r="A222" s="0" t="s">
        <v>181</v>
      </c>
      <c r="B222" s="0" t="n">
        <v>2025</v>
      </c>
      <c r="C222" s="24" t="n">
        <v>7489</v>
      </c>
      <c r="D222" s="9" t="s">
        <v>271</v>
      </c>
      <c r="E222" s="9" t="s">
        <v>223</v>
      </c>
      <c r="F222" s="9" t="s">
        <v>245</v>
      </c>
      <c r="G222" s="9" t="s">
        <v>246</v>
      </c>
      <c r="H222" s="9" t="s">
        <v>248</v>
      </c>
    </row>
    <row r="223" customFormat="false" ht="15" hidden="false" customHeight="false" outlineLevel="0" collapsed="false">
      <c r="A223" s="0" t="s">
        <v>181</v>
      </c>
      <c r="B223" s="0" t="n">
        <v>2026</v>
      </c>
      <c r="C223" s="24" t="n">
        <v>7501</v>
      </c>
      <c r="D223" s="9" t="s">
        <v>271</v>
      </c>
      <c r="E223" s="9" t="s">
        <v>223</v>
      </c>
      <c r="F223" s="9" t="s">
        <v>245</v>
      </c>
      <c r="G223" s="9" t="s">
        <v>246</v>
      </c>
      <c r="H223" s="9" t="s">
        <v>249</v>
      </c>
    </row>
    <row r="224" customFormat="false" ht="15" hidden="false" customHeight="false" outlineLevel="0" collapsed="false">
      <c r="A224" s="0" t="s">
        <v>182</v>
      </c>
      <c r="B224" s="0" t="n">
        <v>2017</v>
      </c>
      <c r="C224" s="24" t="n">
        <v>1150</v>
      </c>
      <c r="D224" s="9" t="s">
        <v>272</v>
      </c>
      <c r="E224" s="9" t="s">
        <v>223</v>
      </c>
      <c r="F224" s="9" t="s">
        <v>260</v>
      </c>
      <c r="G224" s="9" t="s">
        <v>261</v>
      </c>
      <c r="H224" s="9" t="s">
        <v>226</v>
      </c>
    </row>
    <row r="225" customFormat="false" ht="15" hidden="false" customHeight="false" outlineLevel="0" collapsed="false">
      <c r="A225" s="0" t="s">
        <v>182</v>
      </c>
      <c r="B225" s="0" t="n">
        <v>2018</v>
      </c>
      <c r="C225" s="24" t="n">
        <v>1130</v>
      </c>
      <c r="D225" s="9" t="s">
        <v>272</v>
      </c>
      <c r="E225" s="9" t="s">
        <v>223</v>
      </c>
      <c r="F225" s="9" t="s">
        <v>224</v>
      </c>
      <c r="G225" s="9" t="s">
        <v>225</v>
      </c>
      <c r="H225" s="9" t="s">
        <v>229</v>
      </c>
    </row>
    <row r="226" customFormat="false" ht="15" hidden="false" customHeight="false" outlineLevel="0" collapsed="false">
      <c r="A226" s="0" t="s">
        <v>182</v>
      </c>
      <c r="B226" s="0" t="n">
        <v>2019</v>
      </c>
      <c r="C226" s="24" t="n">
        <v>1968</v>
      </c>
      <c r="D226" s="9" t="s">
        <v>272</v>
      </c>
      <c r="E226" s="9" t="s">
        <v>223</v>
      </c>
      <c r="F226" s="9" t="s">
        <v>227</v>
      </c>
      <c r="G226" s="9" t="s">
        <v>228</v>
      </c>
      <c r="H226" s="9" t="s">
        <v>232</v>
      </c>
    </row>
    <row r="227" customFormat="false" ht="15" hidden="false" customHeight="false" outlineLevel="0" collapsed="false">
      <c r="A227" s="0" t="s">
        <v>182</v>
      </c>
      <c r="B227" s="0" t="n">
        <v>2020</v>
      </c>
      <c r="C227" s="24" t="n">
        <v>1653</v>
      </c>
      <c r="D227" s="9" t="s">
        <v>272</v>
      </c>
      <c r="E227" s="9" t="s">
        <v>223</v>
      </c>
      <c r="F227" s="9" t="s">
        <v>230</v>
      </c>
      <c r="G227" s="9" t="s">
        <v>231</v>
      </c>
      <c r="H227" s="9" t="s">
        <v>235</v>
      </c>
    </row>
    <row r="228" customFormat="false" ht="15" hidden="false" customHeight="false" outlineLevel="0" collapsed="false">
      <c r="A228" s="0" t="s">
        <v>182</v>
      </c>
      <c r="B228" s="0" t="n">
        <v>2021</v>
      </c>
      <c r="C228" s="24" t="n">
        <v>1498</v>
      </c>
      <c r="D228" s="9" t="s">
        <v>272</v>
      </c>
      <c r="E228" s="9" t="s">
        <v>223</v>
      </c>
      <c r="F228" s="9" t="s">
        <v>233</v>
      </c>
      <c r="G228" s="9" t="s">
        <v>234</v>
      </c>
      <c r="H228" s="9" t="s">
        <v>238</v>
      </c>
    </row>
    <row r="229" customFormat="false" ht="15" hidden="false" customHeight="false" outlineLevel="0" collapsed="false">
      <c r="A229" s="0" t="s">
        <v>182</v>
      </c>
      <c r="B229" s="0" t="n">
        <v>2022</v>
      </c>
      <c r="C229" s="24" t="n">
        <v>2129</v>
      </c>
      <c r="D229" s="9" t="s">
        <v>272</v>
      </c>
      <c r="E229" s="9" t="s">
        <v>223</v>
      </c>
      <c r="F229" s="9" t="s">
        <v>236</v>
      </c>
      <c r="G229" s="9" t="s">
        <v>237</v>
      </c>
      <c r="H229" s="9" t="s">
        <v>241</v>
      </c>
    </row>
    <row r="230" customFormat="false" ht="15" hidden="false" customHeight="false" outlineLevel="0" collapsed="false">
      <c r="A230" s="0" t="s">
        <v>182</v>
      </c>
      <c r="B230" s="0" t="n">
        <v>2023</v>
      </c>
      <c r="C230" s="24" t="n">
        <v>1942</v>
      </c>
      <c r="D230" s="9" t="s">
        <v>272</v>
      </c>
      <c r="E230" s="9" t="s">
        <v>223</v>
      </c>
      <c r="F230" s="9" t="s">
        <v>239</v>
      </c>
      <c r="G230" s="9" t="s">
        <v>240</v>
      </c>
      <c r="H230" s="9" t="s">
        <v>244</v>
      </c>
    </row>
    <row r="231" customFormat="false" ht="15" hidden="false" customHeight="false" outlineLevel="0" collapsed="false">
      <c r="A231" s="0" t="s">
        <v>182</v>
      </c>
      <c r="B231" s="0" t="n">
        <v>2024</v>
      </c>
      <c r="C231" s="24" t="n">
        <v>1854</v>
      </c>
      <c r="D231" s="9" t="s">
        <v>272</v>
      </c>
      <c r="E231" s="9" t="s">
        <v>223</v>
      </c>
      <c r="F231" s="9" t="s">
        <v>242</v>
      </c>
      <c r="G231" s="9" t="s">
        <v>243</v>
      </c>
      <c r="H231" s="9" t="s">
        <v>247</v>
      </c>
    </row>
    <row r="232" customFormat="false" ht="15" hidden="false" customHeight="false" outlineLevel="0" collapsed="false">
      <c r="A232" s="0" t="s">
        <v>182</v>
      </c>
      <c r="B232" s="0" t="n">
        <v>2025</v>
      </c>
      <c r="C232" s="24" t="n">
        <v>2005</v>
      </c>
      <c r="D232" s="9" t="s">
        <v>272</v>
      </c>
      <c r="E232" s="9" t="s">
        <v>223</v>
      </c>
      <c r="F232" s="9" t="s">
        <v>245</v>
      </c>
      <c r="G232" s="9" t="s">
        <v>246</v>
      </c>
      <c r="H232" s="9" t="s">
        <v>248</v>
      </c>
    </row>
    <row r="233" customFormat="false" ht="15" hidden="false" customHeight="false" outlineLevel="0" collapsed="false">
      <c r="A233" s="0" t="s">
        <v>182</v>
      </c>
      <c r="B233" s="0" t="n">
        <v>2026</v>
      </c>
      <c r="C233" s="24" t="n">
        <v>2144</v>
      </c>
      <c r="D233" s="9" t="s">
        <v>272</v>
      </c>
      <c r="E233" s="9" t="s">
        <v>223</v>
      </c>
      <c r="F233" s="9" t="s">
        <v>245</v>
      </c>
      <c r="G233" s="9" t="s">
        <v>246</v>
      </c>
      <c r="H233" s="9" t="s">
        <v>249</v>
      </c>
    </row>
    <row r="234" customFormat="false" ht="15" hidden="false" customHeight="false" outlineLevel="0" collapsed="false">
      <c r="A234" s="0" t="s">
        <v>183</v>
      </c>
      <c r="B234" s="0" t="n">
        <v>2017</v>
      </c>
      <c r="C234" s="24" t="n">
        <v>2048</v>
      </c>
      <c r="D234" s="9" t="s">
        <v>273</v>
      </c>
      <c r="E234" s="9" t="s">
        <v>223</v>
      </c>
      <c r="F234" s="9" t="s">
        <v>260</v>
      </c>
      <c r="G234" s="9" t="s">
        <v>261</v>
      </c>
      <c r="H234" s="9" t="s">
        <v>226</v>
      </c>
    </row>
    <row r="235" customFormat="false" ht="15" hidden="false" customHeight="false" outlineLevel="0" collapsed="false">
      <c r="A235" s="0" t="s">
        <v>183</v>
      </c>
      <c r="B235" s="0" t="n">
        <v>2018</v>
      </c>
      <c r="C235" s="24" t="n">
        <v>2279</v>
      </c>
      <c r="D235" s="9" t="s">
        <v>273</v>
      </c>
      <c r="E235" s="9" t="s">
        <v>223</v>
      </c>
      <c r="F235" s="9" t="s">
        <v>224</v>
      </c>
      <c r="G235" s="9" t="s">
        <v>225</v>
      </c>
      <c r="H235" s="9" t="s">
        <v>229</v>
      </c>
    </row>
    <row r="236" customFormat="false" ht="15" hidden="false" customHeight="false" outlineLevel="0" collapsed="false">
      <c r="A236" s="0" t="s">
        <v>183</v>
      </c>
      <c r="B236" s="0" t="n">
        <v>2019</v>
      </c>
      <c r="C236" s="24" t="n">
        <v>2612</v>
      </c>
      <c r="D236" s="9" t="s">
        <v>273</v>
      </c>
      <c r="E236" s="9" t="s">
        <v>223</v>
      </c>
      <c r="F236" s="9" t="s">
        <v>227</v>
      </c>
      <c r="G236" s="9" t="s">
        <v>228</v>
      </c>
      <c r="H236" s="9" t="s">
        <v>232</v>
      </c>
    </row>
    <row r="237" customFormat="false" ht="15" hidden="false" customHeight="false" outlineLevel="0" collapsed="false">
      <c r="A237" s="0" t="s">
        <v>183</v>
      </c>
      <c r="B237" s="0" t="n">
        <v>2020</v>
      </c>
      <c r="C237" s="24" t="n">
        <v>2248</v>
      </c>
      <c r="D237" s="9" t="s">
        <v>273</v>
      </c>
      <c r="E237" s="9" t="s">
        <v>223</v>
      </c>
      <c r="F237" s="9" t="s">
        <v>230</v>
      </c>
      <c r="G237" s="9" t="s">
        <v>231</v>
      </c>
      <c r="H237" s="9" t="s">
        <v>235</v>
      </c>
    </row>
    <row r="238" customFormat="false" ht="15" hidden="false" customHeight="false" outlineLevel="0" collapsed="false">
      <c r="A238" s="0" t="s">
        <v>183</v>
      </c>
      <c r="B238" s="0" t="n">
        <v>2021</v>
      </c>
      <c r="C238" s="24" t="n">
        <v>2836</v>
      </c>
      <c r="D238" s="9" t="s">
        <v>273</v>
      </c>
      <c r="E238" s="9" t="s">
        <v>223</v>
      </c>
      <c r="F238" s="9" t="s">
        <v>233</v>
      </c>
      <c r="G238" s="9" t="s">
        <v>234</v>
      </c>
      <c r="H238" s="9" t="s">
        <v>238</v>
      </c>
    </row>
    <row r="239" customFormat="false" ht="15" hidden="false" customHeight="false" outlineLevel="0" collapsed="false">
      <c r="A239" s="0" t="s">
        <v>183</v>
      </c>
      <c r="B239" s="0" t="n">
        <v>2022</v>
      </c>
      <c r="C239" s="24" t="n">
        <v>3358</v>
      </c>
      <c r="D239" s="9" t="s">
        <v>273</v>
      </c>
      <c r="E239" s="9" t="s">
        <v>223</v>
      </c>
      <c r="F239" s="9" t="s">
        <v>236</v>
      </c>
      <c r="G239" s="9" t="s">
        <v>237</v>
      </c>
      <c r="H239" s="9" t="s">
        <v>241</v>
      </c>
    </row>
    <row r="240" customFormat="false" ht="15" hidden="false" customHeight="false" outlineLevel="0" collapsed="false">
      <c r="A240" s="0" t="s">
        <v>183</v>
      </c>
      <c r="B240" s="0" t="n">
        <v>2023</v>
      </c>
      <c r="C240" s="24" t="n">
        <v>2862</v>
      </c>
      <c r="D240" s="9" t="s">
        <v>273</v>
      </c>
      <c r="E240" s="9" t="s">
        <v>223</v>
      </c>
      <c r="F240" s="9" t="s">
        <v>239</v>
      </c>
      <c r="G240" s="9" t="s">
        <v>240</v>
      </c>
      <c r="H240" s="9" t="s">
        <v>244</v>
      </c>
    </row>
    <row r="241" customFormat="false" ht="15" hidden="false" customHeight="false" outlineLevel="0" collapsed="false">
      <c r="A241" s="0" t="s">
        <v>183</v>
      </c>
      <c r="B241" s="0" t="n">
        <v>2024</v>
      </c>
      <c r="C241" s="24" t="n">
        <v>2851</v>
      </c>
      <c r="D241" s="9" t="s">
        <v>273</v>
      </c>
      <c r="E241" s="9" t="s">
        <v>223</v>
      </c>
      <c r="F241" s="9" t="s">
        <v>242</v>
      </c>
      <c r="G241" s="9" t="s">
        <v>243</v>
      </c>
      <c r="H241" s="9" t="s">
        <v>247</v>
      </c>
    </row>
    <row r="242" customFormat="false" ht="15" hidden="false" customHeight="false" outlineLevel="0" collapsed="false">
      <c r="A242" s="0" t="s">
        <v>183</v>
      </c>
      <c r="B242" s="0" t="n">
        <v>2025</v>
      </c>
      <c r="C242" s="24" t="n">
        <v>3479</v>
      </c>
      <c r="D242" s="9" t="s">
        <v>273</v>
      </c>
      <c r="E242" s="9" t="s">
        <v>223</v>
      </c>
      <c r="F242" s="9" t="s">
        <v>245</v>
      </c>
      <c r="G242" s="9" t="s">
        <v>246</v>
      </c>
      <c r="H242" s="9" t="s">
        <v>248</v>
      </c>
    </row>
    <row r="243" customFormat="false" ht="15" hidden="false" customHeight="false" outlineLevel="0" collapsed="false">
      <c r="A243" s="0" t="s">
        <v>183</v>
      </c>
      <c r="B243" s="0" t="n">
        <v>2026</v>
      </c>
      <c r="C243" s="24" t="n">
        <v>3600</v>
      </c>
      <c r="D243" s="9" t="s">
        <v>273</v>
      </c>
      <c r="E243" s="9" t="s">
        <v>223</v>
      </c>
      <c r="F243" s="9" t="s">
        <v>245</v>
      </c>
      <c r="G243" s="9" t="s">
        <v>246</v>
      </c>
      <c r="H243" s="9" t="s">
        <v>249</v>
      </c>
    </row>
    <row r="244" customFormat="false" ht="15" hidden="false" customHeight="false" outlineLevel="0" collapsed="false">
      <c r="A244" s="0" t="s">
        <v>184</v>
      </c>
      <c r="B244" s="0" t="n">
        <v>2017</v>
      </c>
      <c r="C244" s="24" t="n">
        <v>3011</v>
      </c>
      <c r="D244" s="9" t="s">
        <v>274</v>
      </c>
      <c r="E244" s="9" t="s">
        <v>223</v>
      </c>
      <c r="F244" s="9" t="s">
        <v>260</v>
      </c>
      <c r="G244" s="9" t="s">
        <v>261</v>
      </c>
      <c r="H244" s="9" t="s">
        <v>226</v>
      </c>
    </row>
    <row r="245" customFormat="false" ht="15" hidden="false" customHeight="false" outlineLevel="0" collapsed="false">
      <c r="A245" s="0" t="s">
        <v>184</v>
      </c>
      <c r="B245" s="0" t="n">
        <v>2018</v>
      </c>
      <c r="C245" s="24" t="n">
        <v>3269</v>
      </c>
      <c r="D245" s="9" t="s">
        <v>274</v>
      </c>
      <c r="E245" s="9" t="s">
        <v>223</v>
      </c>
      <c r="F245" s="9" t="s">
        <v>224</v>
      </c>
      <c r="G245" s="9" t="s">
        <v>225</v>
      </c>
      <c r="H245" s="9" t="s">
        <v>229</v>
      </c>
    </row>
    <row r="246" customFormat="false" ht="15" hidden="false" customHeight="false" outlineLevel="0" collapsed="false">
      <c r="A246" s="0" t="s">
        <v>184</v>
      </c>
      <c r="B246" s="0" t="n">
        <v>2019</v>
      </c>
      <c r="C246" s="24" t="n">
        <v>5010</v>
      </c>
      <c r="D246" s="9" t="s">
        <v>274</v>
      </c>
      <c r="E246" s="9" t="s">
        <v>223</v>
      </c>
      <c r="F246" s="9" t="s">
        <v>227</v>
      </c>
      <c r="G246" s="9" t="s">
        <v>228</v>
      </c>
      <c r="H246" s="9" t="s">
        <v>232</v>
      </c>
    </row>
    <row r="247" customFormat="false" ht="15" hidden="false" customHeight="false" outlineLevel="0" collapsed="false">
      <c r="A247" s="0" t="s">
        <v>184</v>
      </c>
      <c r="B247" s="0" t="n">
        <v>2020</v>
      </c>
      <c r="C247" s="24" t="n">
        <v>5184</v>
      </c>
      <c r="D247" s="9" t="s">
        <v>274</v>
      </c>
      <c r="E247" s="9" t="s">
        <v>223</v>
      </c>
      <c r="F247" s="9" t="s">
        <v>230</v>
      </c>
      <c r="G247" s="9" t="s">
        <v>231</v>
      </c>
      <c r="H247" s="9" t="s">
        <v>235</v>
      </c>
    </row>
    <row r="248" customFormat="false" ht="15" hidden="false" customHeight="false" outlineLevel="0" collapsed="false">
      <c r="A248" s="0" t="s">
        <v>184</v>
      </c>
      <c r="B248" s="0" t="n">
        <v>2021</v>
      </c>
      <c r="C248" s="24" t="n">
        <v>6063</v>
      </c>
      <c r="D248" s="9" t="s">
        <v>274</v>
      </c>
      <c r="E248" s="9" t="s">
        <v>223</v>
      </c>
      <c r="F248" s="9" t="s">
        <v>233</v>
      </c>
      <c r="G248" s="9" t="s">
        <v>234</v>
      </c>
      <c r="H248" s="9" t="s">
        <v>238</v>
      </c>
    </row>
    <row r="249" customFormat="false" ht="15" hidden="false" customHeight="false" outlineLevel="0" collapsed="false">
      <c r="A249" s="0" t="s">
        <v>184</v>
      </c>
      <c r="B249" s="0" t="n">
        <v>2022</v>
      </c>
      <c r="C249" s="24" t="n">
        <v>6220</v>
      </c>
      <c r="D249" s="9" t="s">
        <v>274</v>
      </c>
      <c r="E249" s="9" t="s">
        <v>223</v>
      </c>
      <c r="F249" s="9" t="s">
        <v>236</v>
      </c>
      <c r="G249" s="9" t="s">
        <v>237</v>
      </c>
      <c r="H249" s="9" t="s">
        <v>241</v>
      </c>
    </row>
    <row r="250" customFormat="false" ht="15" hidden="false" customHeight="false" outlineLevel="0" collapsed="false">
      <c r="A250" s="0" t="s">
        <v>184</v>
      </c>
      <c r="B250" s="0" t="n">
        <v>2023</v>
      </c>
      <c r="C250" s="24" t="n">
        <v>5723</v>
      </c>
      <c r="D250" s="9" t="s">
        <v>274</v>
      </c>
      <c r="E250" s="9" t="s">
        <v>223</v>
      </c>
      <c r="F250" s="9" t="s">
        <v>239</v>
      </c>
      <c r="G250" s="9" t="s">
        <v>240</v>
      </c>
      <c r="H250" s="9" t="s">
        <v>244</v>
      </c>
    </row>
    <row r="251" customFormat="false" ht="15" hidden="false" customHeight="false" outlineLevel="0" collapsed="false">
      <c r="A251" s="0" t="s">
        <v>184</v>
      </c>
      <c r="B251" s="0" t="n">
        <v>2024</v>
      </c>
      <c r="C251" s="24" t="n">
        <v>5725</v>
      </c>
      <c r="D251" s="9" t="s">
        <v>274</v>
      </c>
      <c r="E251" s="9" t="s">
        <v>223</v>
      </c>
      <c r="F251" s="9" t="s">
        <v>242</v>
      </c>
      <c r="G251" s="9" t="s">
        <v>243</v>
      </c>
      <c r="H251" s="9" t="s">
        <v>247</v>
      </c>
    </row>
    <row r="252" customFormat="false" ht="15" hidden="false" customHeight="false" outlineLevel="0" collapsed="false">
      <c r="A252" s="0" t="s">
        <v>184</v>
      </c>
      <c r="B252" s="0" t="n">
        <v>2025</v>
      </c>
      <c r="C252" s="24" t="n">
        <v>5916</v>
      </c>
      <c r="D252" s="9" t="s">
        <v>274</v>
      </c>
      <c r="E252" s="9" t="s">
        <v>223</v>
      </c>
      <c r="F252" s="9" t="s">
        <v>245</v>
      </c>
      <c r="G252" s="9" t="s">
        <v>246</v>
      </c>
      <c r="H252" s="9" t="s">
        <v>248</v>
      </c>
    </row>
    <row r="253" customFormat="false" ht="15" hidden="false" customHeight="false" outlineLevel="0" collapsed="false">
      <c r="A253" s="0" t="s">
        <v>184</v>
      </c>
      <c r="B253" s="0" t="n">
        <v>2026</v>
      </c>
      <c r="C253" s="24" t="n">
        <v>6092</v>
      </c>
      <c r="D253" s="9" t="s">
        <v>274</v>
      </c>
      <c r="E253" s="9" t="s">
        <v>223</v>
      </c>
      <c r="F253" s="9" t="s">
        <v>245</v>
      </c>
      <c r="G253" s="9" t="s">
        <v>246</v>
      </c>
      <c r="H253" s="9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0" t="s">
        <v>276</v>
      </c>
    </row>
    <row r="4" customFormat="false" ht="15" hidden="false" customHeight="false" outlineLevel="0" collapsed="false">
      <c r="A4" s="6" t="s">
        <v>277</v>
      </c>
      <c r="B4" s="6" t="s">
        <v>23</v>
      </c>
      <c r="C4" s="6" t="s">
        <v>278</v>
      </c>
    </row>
    <row r="5" customFormat="false" ht="15" hidden="false" customHeight="false" outlineLevel="0" collapsed="false">
      <c r="A5" s="2" t="s">
        <v>279</v>
      </c>
    </row>
    <row r="6" customFormat="false" ht="15" hidden="false" customHeight="false" outlineLevel="0" collapsed="false">
      <c r="A6" s="0" t="s">
        <v>280</v>
      </c>
      <c r="B6" s="25" t="n">
        <f aca="false">Risk_Free</f>
        <v>0.05277</v>
      </c>
      <c r="C6" s="9" t="s">
        <v>281</v>
      </c>
    </row>
    <row r="7" customFormat="false" ht="15" hidden="false" customHeight="false" outlineLevel="0" collapsed="false">
      <c r="A7" s="0" t="s">
        <v>282</v>
      </c>
      <c r="B7" s="26" t="n">
        <f aca="false">Nike_Beta</f>
        <v>1.092</v>
      </c>
      <c r="C7" s="9" t="s">
        <v>281</v>
      </c>
    </row>
    <row r="8" customFormat="false" ht="15" hidden="false" customHeight="false" outlineLevel="0" collapsed="false">
      <c r="A8" s="0" t="s">
        <v>104</v>
      </c>
      <c r="B8" s="25" t="n">
        <f aca="false">ERP</f>
        <v>0.0409</v>
      </c>
      <c r="C8" s="9" t="s">
        <v>281</v>
      </c>
    </row>
    <row r="9" customFormat="false" ht="15" hidden="false" customHeight="false" outlineLevel="0" collapsed="false">
      <c r="A9" s="0" t="s">
        <v>283</v>
      </c>
      <c r="B9" s="22" t="n">
        <f aca="false">Risk_Free+Nike_Beta*ERP</f>
        <v>0.0974328</v>
      </c>
      <c r="C9" s="9" t="s">
        <v>284</v>
      </c>
    </row>
    <row r="11" customFormat="false" ht="15" hidden="false" customHeight="false" outlineLevel="0" collapsed="false">
      <c r="A11" s="2" t="s">
        <v>285</v>
      </c>
    </row>
    <row r="12" customFormat="false" ht="15" hidden="false" customHeight="false" outlineLevel="0" collapsed="false">
      <c r="A12" s="0" t="s">
        <v>286</v>
      </c>
      <c r="B12" s="22" t="n">
        <f aca="false">Risk_Free+Debt_Spread</f>
        <v>0.06077</v>
      </c>
      <c r="C12" s="9" t="s">
        <v>287</v>
      </c>
    </row>
    <row r="13" customFormat="false" ht="15" hidden="false" customHeight="false" outlineLevel="0" collapsed="false">
      <c r="A13" s="0" t="s">
        <v>288</v>
      </c>
      <c r="B13" s="22" t="n">
        <f aca="false">Pretax_Cost_Of_Debt*(1-Tax_On_Interest)</f>
        <v>0.0480083</v>
      </c>
      <c r="C13" s="9" t="s">
        <v>289</v>
      </c>
    </row>
    <row r="15" customFormat="false" ht="15" hidden="false" customHeight="false" outlineLevel="0" collapsed="false">
      <c r="A15" s="2" t="s">
        <v>290</v>
      </c>
    </row>
    <row r="16" customFormat="false" ht="15" hidden="false" customHeight="false" outlineLevel="0" collapsed="false">
      <c r="A16" s="0" t="s">
        <v>291</v>
      </c>
      <c r="B16" s="19" t="n">
        <f aca="false">Share_Price*Shares</f>
        <v>50269.854</v>
      </c>
      <c r="C16" s="9" t="s">
        <v>292</v>
      </c>
    </row>
    <row r="17" customFormat="false" ht="15" hidden="false" customHeight="false" outlineLevel="0" collapsed="false">
      <c r="A17" s="0" t="s">
        <v>293</v>
      </c>
      <c r="B17" s="19" t="n">
        <f aca="false">Debt_LT_Noncurrent+Debt_LT_Current+Debt_Short_Term</f>
        <v>7893</v>
      </c>
      <c r="C17" s="9" t="s">
        <v>294</v>
      </c>
    </row>
    <row r="18" customFormat="false" ht="15" hidden="false" customHeight="false" outlineLevel="0" collapsed="false">
      <c r="A18" s="0" t="s">
        <v>295</v>
      </c>
      <c r="B18" s="20" t="n">
        <f aca="false">Market_Cap/(Market_Cap+Total_Debt)</f>
        <v>0.86429482982386</v>
      </c>
      <c r="C18" s="9" t="s">
        <v>296</v>
      </c>
    </row>
    <row r="19" customFormat="false" ht="15" hidden="false" customHeight="false" outlineLevel="0" collapsed="false">
      <c r="A19" s="0" t="s">
        <v>297</v>
      </c>
      <c r="B19" s="20" t="n">
        <f aca="false">Total_Debt/(Market_Cap+Total_Debt)</f>
        <v>0.13570517017614</v>
      </c>
      <c r="C19" s="9" t="s">
        <v>298</v>
      </c>
    </row>
    <row r="21" customFormat="false" ht="15" hidden="false" customHeight="false" outlineLevel="0" collapsed="false">
      <c r="A21" s="27" t="s">
        <v>299</v>
      </c>
      <c r="B21" s="28" t="n">
        <f aca="false">Weight_Equity*Cost_Of_Equity+Weight_Debt*After_Tax_Cost_Of_Debt</f>
        <v>0.0907256398166294</v>
      </c>
      <c r="C21" s="9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7" min="2" style="0" width="15"/>
    <col collapsed="false" customWidth="true" hidden="false" outlineLevel="0" max="8" min="8" style="0" width="90"/>
  </cols>
  <sheetData>
    <row r="1" customFormat="false" ht="17.3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0" t="s">
        <v>302</v>
      </c>
    </row>
    <row r="4" customFormat="false" ht="28.35" hidden="false" customHeight="false" outlineLevel="0" collapsed="false">
      <c r="A4" s="6" t="s">
        <v>303</v>
      </c>
      <c r="B4" s="6" t="s">
        <v>304</v>
      </c>
      <c r="C4" s="6" t="s">
        <v>305</v>
      </c>
      <c r="D4" s="6" t="s">
        <v>306</v>
      </c>
      <c r="E4" s="6" t="s">
        <v>307</v>
      </c>
      <c r="F4" s="6" t="s">
        <v>308</v>
      </c>
      <c r="G4" s="6" t="s">
        <v>309</v>
      </c>
      <c r="H4" s="6" t="s">
        <v>160</v>
      </c>
    </row>
    <row r="5" customFormat="false" ht="15" hidden="false" customHeight="false" outlineLevel="0" collapsed="false">
      <c r="A5" s="0" t="s">
        <v>310</v>
      </c>
      <c r="B5" s="29" t="n">
        <f aca="false">0</f>
        <v>0</v>
      </c>
      <c r="C5" s="29" t="n">
        <f aca="false">1</f>
        <v>1</v>
      </c>
      <c r="D5" s="29" t="n">
        <f aca="false">2</f>
        <v>2</v>
      </c>
      <c r="E5" s="29" t="n">
        <f aca="false">3</f>
        <v>3</v>
      </c>
      <c r="F5" s="29" t="n">
        <f aca="false">4</f>
        <v>4</v>
      </c>
      <c r="G5" s="29" t="n">
        <f aca="false">5</f>
        <v>5</v>
      </c>
      <c r="H5" s="9" t="s">
        <v>311</v>
      </c>
    </row>
    <row r="6" customFormat="false" ht="15" hidden="false" customHeight="false" outlineLevel="0" collapsed="false">
      <c r="A6" s="0" t="s">
        <v>195</v>
      </c>
      <c r="B6" s="30" t="n">
        <f aca="false">Historicals!K33</f>
        <v>0.00192187263814803</v>
      </c>
      <c r="C6" s="30" t="n">
        <f aca="false">Growth_FY2027+IF(1=1,0,Growth_Adjustment)</f>
        <v>-0.08</v>
      </c>
      <c r="D6" s="30" t="n">
        <f aca="false">Growth_FY2028+IF(2=1,0,Growth_Adjustment)</f>
        <v>0.03</v>
      </c>
      <c r="E6" s="30" t="n">
        <f aca="false">Growth_FY2029+IF(3=1,0,Growth_Adjustment)</f>
        <v>0.04</v>
      </c>
      <c r="F6" s="30" t="n">
        <f aca="false">Growth_FY2030+IF(4=1,0,Growth_Adjustment)</f>
        <v>0.04</v>
      </c>
      <c r="G6" s="30" t="n">
        <f aca="false">Growth_FY2031+IF(5=1,0,Growth_Adjustment)</f>
        <v>0.04</v>
      </c>
      <c r="H6" s="9" t="s">
        <v>312</v>
      </c>
    </row>
    <row r="7" customFormat="false" ht="15" hidden="false" customHeight="false" outlineLevel="0" collapsed="false">
      <c r="A7" s="0" t="s">
        <v>162</v>
      </c>
      <c r="B7" s="31" t="n">
        <f aca="false">Historicals!K6</f>
        <v>46398</v>
      </c>
      <c r="C7" s="19" t="n">
        <f aca="false">B7*(1+C6)</f>
        <v>42686.16</v>
      </c>
      <c r="D7" s="19" t="n">
        <f aca="false">C7*(1+D6)</f>
        <v>43966.7448</v>
      </c>
      <c r="E7" s="19" t="n">
        <f aca="false">D7*(1+E6)</f>
        <v>45725.414592</v>
      </c>
      <c r="F7" s="19" t="n">
        <f aca="false">E7*(1+F6)</f>
        <v>47554.43117568</v>
      </c>
      <c r="G7" s="19" t="n">
        <f aca="false">F7*(1+G6)</f>
        <v>49456.6084227072</v>
      </c>
      <c r="H7" s="9" t="s">
        <v>313</v>
      </c>
    </row>
    <row r="8" customFormat="false" ht="15" hidden="false" customHeight="false" outlineLevel="0" collapsed="false">
      <c r="A8" s="0" t="s">
        <v>199</v>
      </c>
      <c r="B8" s="30" t="n">
        <f aca="false">Historicals!K35</f>
        <v>0.0818354239406871</v>
      </c>
      <c r="C8" s="30" t="n">
        <f aca="false">IF(C5=1,FY2027_Margin,FY2027_Margin+(Target_Margin-FY2027_Margin)*MIN(C5-1,Years_To_Target-1)/(Years_To_Target-1))</f>
        <v>0.0555</v>
      </c>
      <c r="D8" s="30" t="n">
        <f aca="false">IF(D5=1,FY2027_Margin,FY2027_Margin+(Target_Margin-FY2027_Margin)*MIN(D5-1,Years_To_Target-1)/(Years_To_Target-1))</f>
        <v>0.072875</v>
      </c>
      <c r="E8" s="30" t="n">
        <f aca="false">IF(E5=1,FY2027_Margin,FY2027_Margin+(Target_Margin-FY2027_Margin)*MIN(E5-1,Years_To_Target-1)/(Years_To_Target-1))</f>
        <v>0.09025</v>
      </c>
      <c r="F8" s="30" t="n">
        <f aca="false">IF(F5=1,FY2027_Margin,FY2027_Margin+(Target_Margin-FY2027_Margin)*MIN(F5-1,Years_To_Target-1)/(Years_To_Target-1))</f>
        <v>0.107625</v>
      </c>
      <c r="G8" s="30" t="n">
        <f aca="false">IF(G5=1,FY2027_Margin,FY2027_Margin+(Target_Margin-FY2027_Margin)*MIN(G5-1,Years_To_Target-1)/(Years_To_Target-1))</f>
        <v>0.125</v>
      </c>
      <c r="H8" s="9" t="s">
        <v>314</v>
      </c>
    </row>
    <row r="9" customFormat="false" ht="15" hidden="false" customHeight="false" outlineLevel="0" collapsed="false">
      <c r="A9" s="0" t="s">
        <v>166</v>
      </c>
      <c r="B9" s="19" t="n">
        <f aca="false">B7*B8</f>
        <v>3797</v>
      </c>
      <c r="C9" s="19" t="n">
        <f aca="false">C7*C8</f>
        <v>2369.08188</v>
      </c>
      <c r="D9" s="19" t="n">
        <f aca="false">D7*D8</f>
        <v>3204.0765273</v>
      </c>
      <c r="E9" s="19" t="n">
        <f aca="false">E7*E8</f>
        <v>4126.718666928</v>
      </c>
      <c r="F9" s="19" t="n">
        <f aca="false">F7*F8</f>
        <v>5118.04565528256</v>
      </c>
      <c r="G9" s="19" t="n">
        <f aca="false">G7*G8</f>
        <v>6182.0760528384</v>
      </c>
      <c r="H9" s="9" t="s">
        <v>315</v>
      </c>
    </row>
    <row r="10" customFormat="false" ht="15" hidden="false" customHeight="false" outlineLevel="0" collapsed="false">
      <c r="A10" s="0" t="s">
        <v>316</v>
      </c>
      <c r="B10" s="31" t="n">
        <f aca="false">B9*Tax_Rate</f>
        <v>683.46</v>
      </c>
      <c r="C10" s="31" t="n">
        <f aca="false">C9*Tax_Rate</f>
        <v>426.4347384</v>
      </c>
      <c r="D10" s="31" t="n">
        <f aca="false">D9*Tax_Rate</f>
        <v>576.733774914</v>
      </c>
      <c r="E10" s="31" t="n">
        <f aca="false">E9*Tax_Rate</f>
        <v>742.80936004704</v>
      </c>
      <c r="F10" s="31" t="n">
        <f aca="false">F9*Tax_Rate</f>
        <v>921.248217950861</v>
      </c>
      <c r="G10" s="31" t="n">
        <f aca="false">G9*Tax_Rate</f>
        <v>1112.77368951091</v>
      </c>
      <c r="H10" s="9" t="s">
        <v>317</v>
      </c>
    </row>
    <row r="11" customFormat="false" ht="15" hidden="false" customHeight="false" outlineLevel="0" collapsed="false">
      <c r="A11" s="0" t="s">
        <v>318</v>
      </c>
      <c r="B11" s="19" t="n">
        <f aca="false">B9-B10</f>
        <v>3113.54</v>
      </c>
      <c r="C11" s="19" t="n">
        <f aca="false">C9-C10</f>
        <v>1942.6471416</v>
      </c>
      <c r="D11" s="19" t="n">
        <f aca="false">D9-D10</f>
        <v>2627.342752386</v>
      </c>
      <c r="E11" s="19" t="n">
        <f aca="false">E9-E10</f>
        <v>3383.90930688096</v>
      </c>
      <c r="F11" s="19" t="n">
        <f aca="false">F9-F10</f>
        <v>4196.7974373317</v>
      </c>
      <c r="G11" s="19" t="n">
        <f aca="false">G9-G10</f>
        <v>5069.30236332749</v>
      </c>
      <c r="H11" s="9" t="s">
        <v>319</v>
      </c>
    </row>
    <row r="12" customFormat="false" ht="15" hidden="false" customHeight="false" outlineLevel="0" collapsed="false">
      <c r="A12" s="0" t="s">
        <v>320</v>
      </c>
      <c r="B12" s="31" t="n">
        <f aca="false">Historicals!K15</f>
        <v>747</v>
      </c>
      <c r="C12" s="31" t="n">
        <f aca="false">C7*DA_Pct</f>
        <v>725.66472</v>
      </c>
      <c r="D12" s="31" t="n">
        <f aca="false">D7*DA_Pct</f>
        <v>747.4346616</v>
      </c>
      <c r="E12" s="31" t="n">
        <f aca="false">E7*DA_Pct</f>
        <v>777.332048064</v>
      </c>
      <c r="F12" s="31" t="n">
        <f aca="false">F7*DA_Pct</f>
        <v>808.42532998656</v>
      </c>
      <c r="G12" s="31" t="n">
        <f aca="false">G7*DA_Pct</f>
        <v>840.762343186023</v>
      </c>
      <c r="H12" s="9" t="s">
        <v>321</v>
      </c>
    </row>
    <row r="13" customFormat="false" ht="15" hidden="false" customHeight="false" outlineLevel="0" collapsed="false">
      <c r="A13" s="0" t="s">
        <v>322</v>
      </c>
      <c r="B13" s="31" t="n">
        <f aca="false">Historicals!K16</f>
        <v>684</v>
      </c>
      <c r="C13" s="31" t="n">
        <f aca="false">C7*Capex_Pct</f>
        <v>853.7232</v>
      </c>
      <c r="D13" s="31" t="n">
        <f aca="false">D7*Capex_Pct</f>
        <v>879.334896</v>
      </c>
      <c r="E13" s="31" t="n">
        <f aca="false">E7*Capex_Pct</f>
        <v>914.50829184</v>
      </c>
      <c r="F13" s="31" t="n">
        <f aca="false">F7*Capex_Pct</f>
        <v>951.0886235136</v>
      </c>
      <c r="G13" s="31" t="n">
        <f aca="false">G7*Capex_Pct</f>
        <v>989.132168454144</v>
      </c>
      <c r="H13" s="9" t="s">
        <v>323</v>
      </c>
    </row>
    <row r="14" customFormat="false" ht="15" hidden="false" customHeight="false" outlineLevel="0" collapsed="false">
      <c r="A14" s="0" t="s">
        <v>324</v>
      </c>
      <c r="B14" s="31" t="n">
        <f aca="false">Historicals!K30</f>
        <v>5884</v>
      </c>
      <c r="C14" s="31" t="n">
        <f aca="false">C7*NWC_Pct</f>
        <v>4908.9084</v>
      </c>
      <c r="D14" s="31" t="n">
        <f aca="false">D7*NWC_Pct</f>
        <v>5056.175652</v>
      </c>
      <c r="E14" s="31" t="n">
        <f aca="false">E7*NWC_Pct</f>
        <v>5258.42267808</v>
      </c>
      <c r="F14" s="31" t="n">
        <f aca="false">F7*NWC_Pct</f>
        <v>5468.7595852032</v>
      </c>
      <c r="G14" s="31" t="n">
        <f aca="false">G7*NWC_Pct</f>
        <v>5687.50996861133</v>
      </c>
      <c r="H14" s="9" t="s">
        <v>325</v>
      </c>
    </row>
    <row r="15" customFormat="false" ht="15" hidden="false" customHeight="false" outlineLevel="0" collapsed="false">
      <c r="A15" s="0" t="s">
        <v>326</v>
      </c>
      <c r="B15" s="31" t="n">
        <f aca="false">B14-Historicals!J30</f>
        <v>1068</v>
      </c>
      <c r="C15" s="19" t="n">
        <f aca="false">C14-B14</f>
        <v>-975.0916</v>
      </c>
      <c r="D15" s="19" t="n">
        <f aca="false">D14-C14</f>
        <v>147.267252000001</v>
      </c>
      <c r="E15" s="19" t="n">
        <f aca="false">E14-D14</f>
        <v>202.24702608</v>
      </c>
      <c r="F15" s="19" t="n">
        <f aca="false">F14-E14</f>
        <v>210.3369071232</v>
      </c>
      <c r="G15" s="19" t="n">
        <f aca="false">G14-F14</f>
        <v>218.750383408129</v>
      </c>
      <c r="H15" s="9" t="s">
        <v>327</v>
      </c>
    </row>
    <row r="16" customFormat="false" ht="15" hidden="false" customHeight="false" outlineLevel="0" collapsed="false">
      <c r="A16" s="32" t="s">
        <v>328</v>
      </c>
      <c r="B16" s="33" t="n">
        <f aca="false">B11+B12-B13-B15</f>
        <v>2108.54</v>
      </c>
      <c r="C16" s="33" t="n">
        <f aca="false">C11+C12-C13-C15</f>
        <v>2789.6802616</v>
      </c>
      <c r="D16" s="33" t="n">
        <f aca="false">D11+D12-D13-D15</f>
        <v>2348.175265986</v>
      </c>
      <c r="E16" s="33" t="n">
        <f aca="false">E11+E12-E13-E15</f>
        <v>3044.48603702496</v>
      </c>
      <c r="F16" s="33" t="n">
        <f aca="false">F11+F12-F13-F15</f>
        <v>3843.79723668146</v>
      </c>
      <c r="G16" s="33" t="n">
        <f aca="false">G11+G12-G13-G15</f>
        <v>4702.18215465124</v>
      </c>
      <c r="H16" s="9" t="s">
        <v>329</v>
      </c>
    </row>
    <row r="18" customFormat="false" ht="15" hidden="false" customHeight="false" outlineLevel="0" collapsed="false">
      <c r="A18" s="2" t="s">
        <v>330</v>
      </c>
    </row>
    <row r="19" customFormat="false" ht="15" hidden="false" customHeight="false" outlineLevel="0" collapsed="false">
      <c r="A19" s="0" t="s">
        <v>331</v>
      </c>
      <c r="B19" s="20" t="n">
        <f aca="false">B16/B7</f>
        <v>0.0454446312341049</v>
      </c>
      <c r="C19" s="20" t="n">
        <f aca="false">C16/C7</f>
        <v>0.0653532728547145</v>
      </c>
      <c r="D19" s="20" t="n">
        <f aca="false">D16/D7</f>
        <v>0.0534079854368932</v>
      </c>
      <c r="E19" s="20" t="n">
        <f aca="false">E16/E7</f>
        <v>0.0665819230769231</v>
      </c>
      <c r="F19" s="20" t="n">
        <f aca="false">F16/F7</f>
        <v>0.0808294230769231</v>
      </c>
      <c r="G19" s="20" t="n">
        <f aca="false">G16/G7</f>
        <v>0.0950769230769231</v>
      </c>
      <c r="H19" s="9" t="s">
        <v>332</v>
      </c>
    </row>
    <row r="20" customFormat="false" ht="15" hidden="false" customHeight="false" outlineLevel="0" collapsed="false">
      <c r="A20" s="0" t="s">
        <v>333</v>
      </c>
      <c r="B20" s="19" t="n">
        <f aca="false">B13-B12+B15</f>
        <v>1005</v>
      </c>
      <c r="C20" s="19" t="n">
        <f aca="false">C13-C12+C15</f>
        <v>-847.03312</v>
      </c>
      <c r="D20" s="19" t="n">
        <f aca="false">D13-D12+D15</f>
        <v>279.167486400001</v>
      </c>
      <c r="E20" s="19" t="n">
        <f aca="false">E13-E12+E15</f>
        <v>339.423269856</v>
      </c>
      <c r="F20" s="19" t="n">
        <f aca="false">F13-F12+F15</f>
        <v>353.00020065024</v>
      </c>
      <c r="G20" s="19" t="n">
        <f aca="false">G13-G12+G15</f>
        <v>367.120208676251</v>
      </c>
      <c r="H20" s="9" t="s">
        <v>334</v>
      </c>
    </row>
    <row r="21" customFormat="false" ht="15" hidden="false" customHeight="false" outlineLevel="0" collapsed="false">
      <c r="A21" s="0" t="s">
        <v>335</v>
      </c>
      <c r="B21" s="31" t="n">
        <f aca="false">Historicals!K17</f>
        <v>2184</v>
      </c>
      <c r="H21" s="9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4"/>
    <col collapsed="false" customWidth="true" hidden="false" outlineLevel="0" max="7" min="7" style="0" width="85"/>
  </cols>
  <sheetData>
    <row r="1" customFormat="false" ht="17.35" hidden="false" customHeight="false" outlineLevel="0" collapsed="false">
      <c r="A1" s="1" t="s">
        <v>337</v>
      </c>
    </row>
    <row r="2" customFormat="false" ht="15" hidden="false" customHeight="false" outlineLevel="0" collapsed="false">
      <c r="A2" s="0" t="s">
        <v>338</v>
      </c>
    </row>
    <row r="4" customFormat="false" ht="15" hidden="false" customHeight="false" outlineLevel="0" collapsed="false">
      <c r="A4" s="6" t="s">
        <v>339</v>
      </c>
      <c r="B4" s="6" t="s">
        <v>340</v>
      </c>
      <c r="C4" s="6" t="s">
        <v>341</v>
      </c>
      <c r="D4" s="6" t="s">
        <v>342</v>
      </c>
      <c r="E4" s="6" t="s">
        <v>343</v>
      </c>
      <c r="F4" s="6" t="s">
        <v>344</v>
      </c>
      <c r="G4" s="6" t="s">
        <v>160</v>
      </c>
    </row>
    <row r="5" customFormat="false" ht="15" hidden="false" customHeight="false" outlineLevel="0" collapsed="false">
      <c r="A5" s="0" t="s">
        <v>345</v>
      </c>
      <c r="B5" s="34" t="n">
        <f aca="false">DATE(2027,5,31)</f>
        <v>46538</v>
      </c>
      <c r="C5" s="34" t="n">
        <f aca="false">DATE(2028,5,31)</f>
        <v>46904</v>
      </c>
      <c r="D5" s="34" t="n">
        <f aca="false">DATE(2029,5,31)</f>
        <v>47269</v>
      </c>
      <c r="E5" s="34" t="n">
        <f aca="false">DATE(2030,5,31)</f>
        <v>47634</v>
      </c>
      <c r="F5" s="34" t="n">
        <f aca="false">DATE(2031,5,31)</f>
        <v>47999</v>
      </c>
      <c r="G5" s="9" t="s">
        <v>346</v>
      </c>
    </row>
    <row r="6" customFormat="false" ht="15" hidden="false" customHeight="false" outlineLevel="0" collapsed="false">
      <c r="A6" s="0" t="s">
        <v>347</v>
      </c>
      <c r="B6" s="35" t="n">
        <f aca="false">(B5-Valuation_Date)/365.25</f>
        <v>0.659822039698837</v>
      </c>
      <c r="C6" s="35" t="n">
        <f aca="false">(C5-Valuation_Date)/365.25</f>
        <v>1.66187542778919</v>
      </c>
      <c r="D6" s="35" t="n">
        <f aca="false">(D5-Valuation_Date)/365.25</f>
        <v>2.6611909650924</v>
      </c>
      <c r="E6" s="35" t="n">
        <f aca="false">(E5-Valuation_Date)/365.25</f>
        <v>3.66050650239562</v>
      </c>
      <c r="F6" s="35" t="n">
        <f aca="false">(F5-Valuation_Date)/365.25</f>
        <v>4.65982203969884</v>
      </c>
      <c r="G6" s="9" t="s">
        <v>348</v>
      </c>
    </row>
    <row r="7" customFormat="false" ht="15" hidden="false" customHeight="false" outlineLevel="0" collapsed="false">
      <c r="A7" s="0" t="s">
        <v>349</v>
      </c>
      <c r="B7" s="36" t="n">
        <f aca="false">Share_Of_FY2027_Remaining</f>
        <v>0.75</v>
      </c>
      <c r="C7" s="37" t="n">
        <v>1</v>
      </c>
      <c r="D7" s="37" t="n">
        <v>1</v>
      </c>
      <c r="E7" s="37" t="n">
        <v>1</v>
      </c>
      <c r="F7" s="37" t="n">
        <v>1</v>
      </c>
      <c r="G7" s="9" t="s">
        <v>350</v>
      </c>
    </row>
    <row r="8" customFormat="false" ht="15" hidden="false" customHeight="false" outlineLevel="0" collapsed="false">
      <c r="A8" s="0" t="s">
        <v>351</v>
      </c>
      <c r="B8" s="31" t="n">
        <f aca="false">Forecast!C16</f>
        <v>2789.6802616</v>
      </c>
      <c r="C8" s="31" t="n">
        <f aca="false">Forecast!D16</f>
        <v>2348.175265986</v>
      </c>
      <c r="D8" s="31" t="n">
        <f aca="false">Forecast!E16</f>
        <v>3044.48603702496</v>
      </c>
      <c r="E8" s="31" t="n">
        <f aca="false">Forecast!F16</f>
        <v>3843.79723668146</v>
      </c>
      <c r="F8" s="31" t="n">
        <f aca="false">Forecast!G16</f>
        <v>4702.18215465124</v>
      </c>
      <c r="G8" s="9" t="s">
        <v>352</v>
      </c>
    </row>
    <row r="9" customFormat="false" ht="15" hidden="false" customHeight="false" outlineLevel="0" collapsed="false">
      <c r="A9" s="0" t="s">
        <v>353</v>
      </c>
      <c r="B9" s="19" t="n">
        <f aca="false">B8*B7</f>
        <v>2092.2601962</v>
      </c>
      <c r="C9" s="19" t="n">
        <f aca="false">C8*C7</f>
        <v>2348.175265986</v>
      </c>
      <c r="D9" s="19" t="n">
        <f aca="false">D8*D7</f>
        <v>3044.48603702496</v>
      </c>
      <c r="E9" s="19" t="n">
        <f aca="false">E8*E7</f>
        <v>3843.79723668146</v>
      </c>
      <c r="F9" s="19" t="n">
        <f aca="false">F8*F7</f>
        <v>4702.18215465124</v>
      </c>
      <c r="G9" s="9" t="s">
        <v>354</v>
      </c>
    </row>
    <row r="10" customFormat="false" ht="15" hidden="false" customHeight="false" outlineLevel="0" collapsed="false">
      <c r="A10" s="0" t="s">
        <v>355</v>
      </c>
      <c r="B10" s="35" t="n">
        <f aca="false">1/(1+WACC)^B6</f>
        <v>0.944309735581022</v>
      </c>
      <c r="C10" s="35" t="n">
        <f aca="false">1/(1+WACC)^C6</f>
        <v>0.86560847584462</v>
      </c>
      <c r="D10" s="35" t="n">
        <f aca="false">1/(1+WACC)^D6</f>
        <v>0.79365506626631</v>
      </c>
      <c r="E10" s="35" t="n">
        <f aca="false">1/(1+WACC)^E6</f>
        <v>0.727682759339395</v>
      </c>
      <c r="F10" s="35" t="n">
        <f aca="false">1/(1+WACC)^F6</f>
        <v>0.667194377944178</v>
      </c>
      <c r="G10" s="9" t="s">
        <v>356</v>
      </c>
    </row>
    <row r="11" customFormat="false" ht="15" hidden="false" customHeight="false" outlineLevel="0" collapsed="false">
      <c r="A11" s="0" t="s">
        <v>357</v>
      </c>
      <c r="B11" s="19" t="n">
        <f aca="false">B9*B10</f>
        <v>1975.74167264032</v>
      </c>
      <c r="C11" s="19" t="n">
        <f aca="false">C9*C10</f>
        <v>2032.60041300618</v>
      </c>
      <c r="D11" s="19" t="n">
        <f aca="false">D9*D10</f>
        <v>2416.2717674619</v>
      </c>
      <c r="E11" s="19" t="n">
        <f aca="false">E9*E10</f>
        <v>2797.06497952951</v>
      </c>
      <c r="F11" s="19" t="n">
        <f aca="false">F9*F10</f>
        <v>3137.26949765275</v>
      </c>
      <c r="G11" s="9" t="s">
        <v>358</v>
      </c>
    </row>
    <row r="13" customFormat="false" ht="28.35" hidden="false" customHeight="false" outlineLevel="0" collapsed="false">
      <c r="A13" s="6" t="s">
        <v>359</v>
      </c>
      <c r="B13" s="6" t="s">
        <v>23</v>
      </c>
      <c r="C13" s="6" t="s">
        <v>160</v>
      </c>
    </row>
    <row r="14" customFormat="false" ht="15" hidden="false" customHeight="false" outlineLevel="0" collapsed="false">
      <c r="A14" s="0" t="s">
        <v>360</v>
      </c>
      <c r="B14" s="19" t="n">
        <f aca="false">SUM(B11:F11)</f>
        <v>12358.9483302906</v>
      </c>
      <c r="C14" s="9" t="s">
        <v>361</v>
      </c>
    </row>
    <row r="15" customFormat="false" ht="15" hidden="false" customHeight="false" outlineLevel="0" collapsed="false">
      <c r="A15" s="0" t="s">
        <v>299</v>
      </c>
      <c r="B15" s="25" t="n">
        <f aca="false">WACC</f>
        <v>0.0907256398166294</v>
      </c>
      <c r="C15" s="9" t="s">
        <v>362</v>
      </c>
    </row>
    <row r="16" customFormat="false" ht="15" hidden="false" customHeight="false" outlineLevel="0" collapsed="false">
      <c r="A16" s="0" t="s">
        <v>363</v>
      </c>
      <c r="B16" s="30" t="n">
        <f aca="false">Terminal_Growth</f>
        <v>0.025</v>
      </c>
      <c r="C16" s="9" t="s">
        <v>281</v>
      </c>
    </row>
    <row r="17" customFormat="false" ht="15" hidden="false" customHeight="false" outlineLevel="0" collapsed="false">
      <c r="A17" s="0" t="s">
        <v>364</v>
      </c>
      <c r="B17" s="31" t="n">
        <f aca="false">Forecast!G7*(1+Terminal_Growth)</f>
        <v>50693.0236332749</v>
      </c>
      <c r="C17" s="9" t="s">
        <v>365</v>
      </c>
    </row>
    <row r="18" customFormat="false" ht="15" hidden="false" customHeight="false" outlineLevel="0" collapsed="false">
      <c r="A18" s="0" t="s">
        <v>366</v>
      </c>
      <c r="B18" s="31" t="n">
        <f aca="false">Revenue_FY2032*(Forecast!G8*(1-Tax_Rate)+DA_Pct-Capex_Pct)-NWC_Pct*(Revenue_FY2032-Forecast!G7)</f>
        <v>4901.76810229557</v>
      </c>
      <c r="C18" s="9" t="s">
        <v>367</v>
      </c>
    </row>
    <row r="19" customFormat="false" ht="15" hidden="false" customHeight="false" outlineLevel="0" collapsed="false">
      <c r="A19" s="0" t="s">
        <v>368</v>
      </c>
      <c r="B19" s="31" t="n">
        <f aca="false">FCFF_FY2032/(WACC-Terminal_Growth)</f>
        <v>74579.2375086985</v>
      </c>
      <c r="C19" s="9" t="s">
        <v>369</v>
      </c>
    </row>
    <row r="20" customFormat="false" ht="15" hidden="false" customHeight="false" outlineLevel="0" collapsed="false">
      <c r="A20" s="0" t="s">
        <v>370</v>
      </c>
      <c r="B20" s="19" t="n">
        <f aca="false">Terminal_Value*F10</f>
        <v>49758.8479771672</v>
      </c>
      <c r="C20" s="9" t="s">
        <v>371</v>
      </c>
    </row>
    <row r="21" customFormat="false" ht="15" hidden="false" customHeight="false" outlineLevel="0" collapsed="false">
      <c r="A21" s="0" t="s">
        <v>372</v>
      </c>
      <c r="B21" s="19" t="n">
        <f aca="false">Sum_PV_FCFF+PV_Terminal_Value</f>
        <v>62117.7963074578</v>
      </c>
      <c r="C21" s="9" t="s">
        <v>373</v>
      </c>
    </row>
    <row r="22" customFormat="false" ht="15" hidden="false" customHeight="false" outlineLevel="0" collapsed="false">
      <c r="A22" s="0" t="s">
        <v>374</v>
      </c>
      <c r="B22" s="31" t="n">
        <f aca="false">Cash+ST_Investments</f>
        <v>8368</v>
      </c>
      <c r="C22" s="9" t="s">
        <v>375</v>
      </c>
    </row>
    <row r="23" customFormat="false" ht="15" hidden="false" customHeight="false" outlineLevel="0" collapsed="false">
      <c r="A23" s="0" t="s">
        <v>376</v>
      </c>
      <c r="B23" s="31" t="n">
        <f aca="false">Total_Debt</f>
        <v>7893</v>
      </c>
      <c r="C23" s="9" t="s">
        <v>362</v>
      </c>
    </row>
    <row r="24" customFormat="false" ht="15" hidden="false" customHeight="false" outlineLevel="0" collapsed="false">
      <c r="A24" s="0" t="s">
        <v>377</v>
      </c>
      <c r="B24" s="19" t="n">
        <f aca="false">Enterprise_Value+B22-B23</f>
        <v>62592.7963074578</v>
      </c>
      <c r="C24" s="9" t="s">
        <v>378</v>
      </c>
    </row>
    <row r="25" customFormat="false" ht="15" hidden="false" customHeight="false" outlineLevel="0" collapsed="false">
      <c r="A25" s="0" t="s">
        <v>379</v>
      </c>
      <c r="B25" s="38" t="n">
        <f aca="false">Shares</f>
        <v>1484.2</v>
      </c>
      <c r="C25" s="9" t="s">
        <v>281</v>
      </c>
    </row>
    <row r="26" customFormat="false" ht="15" hidden="false" customHeight="false" outlineLevel="0" collapsed="false">
      <c r="A26" s="39" t="s">
        <v>380</v>
      </c>
      <c r="B26" s="40" t="n">
        <f aca="false">Equity_Value/Shares</f>
        <v>42.1727505103475</v>
      </c>
      <c r="C26" s="9" t="s">
        <v>381</v>
      </c>
    </row>
    <row r="27" customFormat="false" ht="15" hidden="false" customHeight="false" outlineLevel="0" collapsed="false">
      <c r="A27" s="0" t="s">
        <v>382</v>
      </c>
      <c r="B27" s="41" t="n">
        <f aca="false">Share_Price</f>
        <v>33.87</v>
      </c>
      <c r="C27" s="9" t="s">
        <v>281</v>
      </c>
    </row>
    <row r="28" customFormat="false" ht="15" hidden="false" customHeight="false" outlineLevel="0" collapsed="false">
      <c r="A28" s="39" t="s">
        <v>383</v>
      </c>
      <c r="B28" s="42" t="n">
        <f aca="false">Value_Per_Share/Share_Price-1</f>
        <v>0.245135828472026</v>
      </c>
      <c r="C28" s="9" t="s">
        <v>384</v>
      </c>
    </row>
    <row r="29" customFormat="false" ht="15" hidden="false" customHeight="false" outlineLevel="0" collapsed="false">
      <c r="A29" s="0" t="s">
        <v>385</v>
      </c>
      <c r="B29" s="20" t="n">
        <f aca="false">PV_Terminal_Value/Enterprise_Value</f>
        <v>0.801040135597875</v>
      </c>
      <c r="C29" s="9" t="s">
        <v>386</v>
      </c>
    </row>
    <row r="30" customFormat="false" ht="15" hidden="false" customHeight="false" outlineLevel="0" collapsed="false">
      <c r="A30" s="0" t="s">
        <v>387</v>
      </c>
      <c r="B30" s="43" t="n">
        <f aca="false">Enterprise_Value/Forecast!B9</f>
        <v>16.3597040577977</v>
      </c>
      <c r="C30" s="9" t="s">
        <v>388</v>
      </c>
    </row>
    <row r="32" customFormat="false" ht="15" hidden="false" customHeight="false" outlineLevel="0" collapsed="false">
      <c r="A32" s="2" t="s">
        <v>389</v>
      </c>
    </row>
    <row r="33" customFormat="false" ht="15" hidden="false" customHeight="false" outlineLevel="0" collapsed="false">
      <c r="A33" s="44" t="s">
        <v>390</v>
      </c>
      <c r="B33" s="45" t="n">
        <f aca="false">WACC+(-2)*Sens_WACC_Step</f>
        <v>0.0807256398166294</v>
      </c>
      <c r="C33" s="45" t="n">
        <f aca="false">WACC+(-1)*Sens_WACC_Step</f>
        <v>0.0857256398166294</v>
      </c>
      <c r="D33" s="45" t="n">
        <f aca="false">WACC+(0)*Sens_WACC_Step</f>
        <v>0.0907256398166294</v>
      </c>
      <c r="E33" s="45" t="n">
        <f aca="false">WACC+(1)*Sens_WACC_Step</f>
        <v>0.0957256398166294</v>
      </c>
      <c r="F33" s="45" t="n">
        <f aca="false">WACC+(2)*Sens_WACC_Step</f>
        <v>0.100725639816629</v>
      </c>
    </row>
    <row r="34" customFormat="false" ht="15" hidden="false" customHeight="false" outlineLevel="0" collapsed="false">
      <c r="A34" s="45" t="n">
        <f aca="false">Terminal_Growth+(-2)*Sens_Growth_Step</f>
        <v>0.015</v>
      </c>
      <c r="B34" s="46" t="n">
        <f aca="false">(SUMPRODUCT($B$9:$F$9,1/(1+B$33)^$B$6:$F$6)+(Forecast!$G$7*(1+$A34)*(Forecast!$G$8*(1-Tax_Rate)+DA_Pct-Capex_Pct)-NWC_Pct*Forecast!$G$7*$A34)/(B$33-$A34)/(1+B$33)^$F$6+Cash+ST_Investments-Total_Debt)/Shares</f>
        <v>43.9246564372685</v>
      </c>
      <c r="C34" s="46" t="n">
        <f aca="false">(SUMPRODUCT($B$9:$F$9,1/(1+C$33)^$B$6:$F$6)+(Forecast!$G$7*(1+$A34)*(Forecast!$G$8*(1-Tax_Rate)+DA_Pct-Capex_Pct)-NWC_Pct*Forecast!$G$7*$A34)/(C$33-$A34)/(1+C$33)^$F$6+Cash+ST_Investments-Total_Debt)/Shares</f>
        <v>40.6389200247834</v>
      </c>
      <c r="D34" s="46" t="n">
        <f aca="false">(SUMPRODUCT($B$9:$F$9,1/(1+D$33)^$B$6:$F$6)+(Forecast!$G$7*(1+$A34)*(Forecast!$G$8*(1-Tax_Rate)+DA_Pct-Capex_Pct)-NWC_Pct*Forecast!$G$7*$A34)/(D$33-$A34)/(1+D$33)^$F$6+Cash+ST_Investments-Total_Debt)/Shares</f>
        <v>37.7909978780917</v>
      </c>
      <c r="E34" s="46" t="n">
        <f aca="false">(SUMPRODUCT($B$9:$F$9,1/(1+E$33)^$B$6:$F$6)+(Forecast!$G$7*(1+$A34)*(Forecast!$G$8*(1-Tax_Rate)+DA_Pct-Capex_Pct)-NWC_Pct*Forecast!$G$7*$A34)/(E$33-$A34)/(1+E$33)^$F$6+Cash+ST_Investments-Total_Debt)/Shares</f>
        <v>35.2994493293972</v>
      </c>
      <c r="F34" s="46" t="n">
        <f aca="false">(SUMPRODUCT($B$9:$F$9,1/(1+F$33)^$B$6:$F$6)+(Forecast!$G$7*(1+$A34)*(Forecast!$G$8*(1-Tax_Rate)+DA_Pct-Capex_Pct)-NWC_Pct*Forecast!$G$7*$A34)/(F$33-$A34)/(1+F$33)^$F$6+Cash+ST_Investments-Total_Debt)/Shares</f>
        <v>33.1018364220719</v>
      </c>
    </row>
    <row r="35" customFormat="false" ht="15" hidden="false" customHeight="false" outlineLevel="0" collapsed="false">
      <c r="A35" s="45" t="n">
        <f aca="false">Terminal_Growth+(-1)*Sens_Growth_Step</f>
        <v>0.02</v>
      </c>
      <c r="B35" s="46" t="n">
        <f aca="false">(SUMPRODUCT($B$9:$F$9,1/(1+B$33)^$B$6:$F$6)+(Forecast!$G$7*(1+$A35)*(Forecast!$G$8*(1-Tax_Rate)+DA_Pct-Capex_Pct)-NWC_Pct*Forecast!$G$7*$A35)/(B$33-$A35)/(1+B$33)^$F$6+Cash+ST_Investments-Total_Debt)/Shares</f>
        <v>46.7810234587499</v>
      </c>
      <c r="C35" s="46" t="n">
        <f aca="false">(SUMPRODUCT($B$9:$F$9,1/(1+C$33)^$B$6:$F$6)+(Forecast!$G$7*(1+$A35)*(Forecast!$G$8*(1-Tax_Rate)+DA_Pct-Capex_Pct)-NWC_Pct*Forecast!$G$7*$A35)/(C$33-$A35)/(1+C$33)^$F$6+Cash+ST_Investments-Total_Debt)/Shares</f>
        <v>43.0373401031089</v>
      </c>
      <c r="D35" s="46" t="n">
        <f aca="false">(SUMPRODUCT($B$9:$F$9,1/(1+D$33)^$B$6:$F$6)+(Forecast!$G$7*(1+$A35)*(Forecast!$G$8*(1-Tax_Rate)+DA_Pct-Capex_Pct)-NWC_Pct*Forecast!$G$7*$A35)/(D$33-$A35)/(1+D$33)^$F$6+Cash+ST_Investments-Total_Debt)/Shares</f>
        <v>39.8269886165276</v>
      </c>
      <c r="E35" s="46" t="n">
        <f aca="false">(SUMPRODUCT($B$9:$F$9,1/(1+E$33)^$B$6:$F$6)+(Forecast!$G$7*(1+$A35)*(Forecast!$G$8*(1-Tax_Rate)+DA_Pct-Capex_Pct)-NWC_Pct*Forecast!$G$7*$A35)/(E$33-$A35)/(1+E$33)^$F$6+Cash+ST_Investments-Total_Debt)/Shares</f>
        <v>37.0442351339659</v>
      </c>
      <c r="F35" s="46" t="n">
        <f aca="false">(SUMPRODUCT($B$9:$F$9,1/(1+F$33)^$B$6:$F$6)+(Forecast!$G$7*(1+$A35)*(Forecast!$G$8*(1-Tax_Rate)+DA_Pct-Capex_Pct)-NWC_Pct*Forecast!$G$7*$A35)/(F$33-$A35)/(1+F$33)^$F$6+Cash+ST_Investments-Total_Debt)/Shares</f>
        <v>34.6095440634097</v>
      </c>
    </row>
    <row r="36" customFormat="false" ht="15" hidden="false" customHeight="false" outlineLevel="0" collapsed="false">
      <c r="A36" s="45" t="n">
        <f aca="false">Terminal_Growth+(0)*Sens_Growth_Step</f>
        <v>0.025</v>
      </c>
      <c r="B36" s="46" t="n">
        <f aca="false">(SUMPRODUCT($B$9:$F$9,1/(1+B$33)^$B$6:$F$6)+(Forecast!$G$7*(1+$A36)*(Forecast!$G$8*(1-Tax_Rate)+DA_Pct-Capex_Pct)-NWC_Pct*Forecast!$G$7*$A36)/(B$33-$A36)/(1+B$33)^$F$6+Cash+ST_Investments-Total_Debt)/Shares</f>
        <v>50.1499672816606</v>
      </c>
      <c r="C36" s="46" t="n">
        <f aca="false">(SUMPRODUCT($B$9:$F$9,1/(1+C$33)^$B$6:$F$6)+(Forecast!$G$7*(1+$A36)*(Forecast!$G$8*(1-Tax_Rate)+DA_Pct-Capex_Pct)-NWC_Pct*Forecast!$G$7*$A36)/(C$33-$A36)/(1+C$33)^$F$6+Cash+ST_Investments-Total_Debt)/Shares</f>
        <v>45.8307202157078</v>
      </c>
      <c r="D36" s="40" t="n">
        <f aca="false">(SUMPRODUCT($B$9:$F$9,1/(1+D$33)^$B$6:$F$6)+(Forecast!$G$7*(1+$A36)*(Forecast!$G$8*(1-Tax_Rate)+DA_Pct-Capex_Pct)-NWC_Pct*Forecast!$G$7*$A36)/(D$33-$A36)/(1+D$33)^$F$6+Cash+ST_Investments-Total_Debt)/Shares</f>
        <v>42.1727505103475</v>
      </c>
      <c r="E36" s="46" t="n">
        <f aca="false">(SUMPRODUCT($B$9:$F$9,1/(1+E$33)^$B$6:$F$6)+(Forecast!$G$7*(1+$A36)*(Forecast!$G$8*(1-Tax_Rate)+DA_Pct-Capex_Pct)-NWC_Pct*Forecast!$G$7*$A36)/(E$33-$A36)/(1+E$33)^$F$6+Cash+ST_Investments-Total_Debt)/Shares</f>
        <v>39.0357187144886</v>
      </c>
      <c r="F36" s="46" t="n">
        <f aca="false">(SUMPRODUCT($B$9:$F$9,1/(1+F$33)^$B$6:$F$6)+(Forecast!$G$7*(1+$A36)*(Forecast!$G$8*(1-Tax_Rate)+DA_Pct-Capex_Pct)-NWC_Pct*Forecast!$G$7*$A36)/(F$33-$A36)/(1+F$33)^$F$6+Cash+ST_Investments-Total_Debt)/Shares</f>
        <v>36.3163530454544</v>
      </c>
    </row>
    <row r="37" customFormat="false" ht="15" hidden="false" customHeight="false" outlineLevel="0" collapsed="false">
      <c r="A37" s="45" t="n">
        <f aca="false">Terminal_Growth+(1)*Sens_Growth_Step</f>
        <v>0.03</v>
      </c>
      <c r="B37" s="46" t="n">
        <f aca="false">(SUMPRODUCT($B$9:$F$9,1/(1+B$33)^$B$6:$F$6)+(Forecast!$G$7*(1+$A37)*(Forecast!$G$8*(1-Tax_Rate)+DA_Pct-Capex_Pct)-NWC_Pct*Forecast!$G$7*$A37)/(B$33-$A37)/(1+B$33)^$F$6+Cash+ST_Investments-Total_Debt)/Shares</f>
        <v>54.1830611941689</v>
      </c>
      <c r="C37" s="46" t="n">
        <f aca="false">(SUMPRODUCT($B$9:$F$9,1/(1+C$33)^$B$6:$F$6)+(Forecast!$G$7*(1+$A37)*(Forecast!$G$8*(1-Tax_Rate)+DA_Pct-Capex_Pct)-NWC_Pct*Forecast!$G$7*$A37)/(C$33-$A37)/(1+C$33)^$F$6+Cash+ST_Investments-Total_Debt)/Shares</f>
        <v>49.1253740905803</v>
      </c>
      <c r="D37" s="46" t="n">
        <f aca="false">(SUMPRODUCT($B$9:$F$9,1/(1+D$33)^$B$6:$F$6)+(Forecast!$G$7*(1+$A37)*(Forecast!$G$8*(1-Tax_Rate)+DA_Pct-Capex_Pct)-NWC_Pct*Forecast!$G$7*$A37)/(D$33-$A37)/(1+D$33)^$F$6+Cash+ST_Investments-Total_Debt)/Shares</f>
        <v>44.9048009473435</v>
      </c>
      <c r="E37" s="46" t="n">
        <f aca="false">(SUMPRODUCT($B$9:$F$9,1/(1+E$33)^$B$6:$F$6)+(Forecast!$G$7*(1+$A37)*(Forecast!$G$8*(1-Tax_Rate)+DA_Pct-Capex_Pct)-NWC_Pct*Forecast!$G$7*$A37)/(E$33-$A37)/(1+E$33)^$F$6+Cash+ST_Investments-Total_Debt)/Shares</f>
        <v>41.3302017920232</v>
      </c>
      <c r="F37" s="46" t="n">
        <f aca="false">(SUMPRODUCT($B$9:$F$9,1/(1+F$33)^$B$6:$F$6)+(Forecast!$G$7*(1+$A37)*(Forecast!$G$8*(1-Tax_Rate)+DA_Pct-Capex_Pct)-NWC_Pct*Forecast!$G$7*$A37)/(F$33-$A37)/(1+F$33)^$F$6+Cash+ST_Investments-Total_Debt)/Shares</f>
        <v>38.2644902058614</v>
      </c>
    </row>
    <row r="38" customFormat="false" ht="15" hidden="false" customHeight="false" outlineLevel="0" collapsed="false">
      <c r="A38" s="45" t="n">
        <f aca="false">Terminal_Growth+(2)*Sens_Growth_Step</f>
        <v>0.035</v>
      </c>
      <c r="B38" s="46" t="n">
        <f aca="false">(SUMPRODUCT($B$9:$F$9,1/(1+B$33)^$B$6:$F$6)+(Forecast!$G$7*(1+$A38)*(Forecast!$G$8*(1-Tax_Rate)+DA_Pct-Capex_Pct)-NWC_Pct*Forecast!$G$7*$A38)/(B$33-$A38)/(1+B$33)^$F$6+Cash+ST_Investments-Total_Debt)/Shares</f>
        <v>59.098175331803</v>
      </c>
      <c r="C38" s="46" t="n">
        <f aca="false">(SUMPRODUCT($B$9:$F$9,1/(1+C$33)^$B$6:$F$6)+(Forecast!$G$7*(1+$A38)*(Forecast!$G$8*(1-Tax_Rate)+DA_Pct-Capex_Pct)-NWC_Pct*Forecast!$G$7*$A38)/(C$33-$A38)/(1+C$33)^$F$6+Cash+ST_Investments-Total_Debt)/Shares</f>
        <v>53.0695326117782</v>
      </c>
      <c r="D38" s="46" t="n">
        <f aca="false">(SUMPRODUCT($B$9:$F$9,1/(1+D$33)^$B$6:$F$6)+(Forecast!$G$7*(1+$A38)*(Forecast!$G$8*(1-Tax_Rate)+DA_Pct-Capex_Pct)-NWC_Pct*Forecast!$G$7*$A38)/(D$33-$A38)/(1+D$33)^$F$6+Cash+ST_Investments-Total_Debt)/Shares</f>
        <v>48.1271194989787</v>
      </c>
      <c r="E38" s="46" t="n">
        <f aca="false">(SUMPRODUCT($B$9:$F$9,1/(1+E$33)^$B$6:$F$6)+(Forecast!$G$7*(1+$A38)*(Forecast!$G$8*(1-Tax_Rate)+DA_Pct-Capex_Pct)-NWC_Pct*Forecast!$G$7*$A38)/(E$33-$A38)/(1+E$33)^$F$6+Cash+ST_Investments-Total_Debt)/Shares</f>
        <v>44.0025290692177</v>
      </c>
      <c r="F38" s="46" t="n">
        <f aca="false">(SUMPRODUCT($B$9:$F$9,1/(1+F$33)^$B$6:$F$6)+(Forecast!$G$7*(1+$A38)*(Forecast!$G$8*(1-Tax_Rate)+DA_Pct-Capex_Pct)-NWC_Pct*Forecast!$G$7*$A38)/(F$33-$A38)/(1+F$33)^$F$6+Cash+ST_Investments-Total_Debt)/Shares</f>
        <v>40.5090318084072</v>
      </c>
    </row>
    <row r="39" customFormat="false" ht="15" hidden="false" customHeight="false" outlineLevel="0" collapsed="false">
      <c r="A39" s="0" t="s">
        <v>391</v>
      </c>
    </row>
    <row r="41" customFormat="false" ht="15" hidden="false" customHeight="false" outlineLevel="0" collapsed="false">
      <c r="A41" s="2" t="s">
        <v>392</v>
      </c>
    </row>
    <row r="42" customFormat="false" ht="15" hidden="false" customHeight="false" outlineLevel="0" collapsed="false">
      <c r="A42" s="0" t="s">
        <v>393</v>
      </c>
    </row>
    <row r="43" customFormat="false" ht="15" hidden="false" customHeight="false" outlineLevel="0" collapsed="false">
      <c r="A43" s="0" t="s">
        <v>394</v>
      </c>
    </row>
    <row r="44" customFormat="false" ht="15" hidden="false" customHeight="false" outlineLevel="0" collapsed="false">
      <c r="A44" s="0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2026-10-04T23:03:01Z</dcterms:created>
  <dc:creator>openpyxl</dc:creator>
  <dc:description/>
  <dc:language>en-US</dc:language>
  <cp:lastModifiedBy/>
  <dcterms:modified xsi:type="dcterms:W3CDTF">2026-10-04T23:03:01Z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