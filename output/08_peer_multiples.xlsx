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Nike value from peer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/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164" fontId="3" fillId="3" borderId="0" pivotButton="0" quotePrefix="0" xfId="0"/>
    <xf numFmtId="164" fontId="0" fillId="3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40" customWidth="1" min="28" max="28"/>
  </cols>
  <sheetData>
    <row r="1">
      <c r="A1" s="1" t="inlineStr">
        <is>
          <t>Nike vs peers: valuation multiples at share prices of 2026-10-02</t>
        </is>
      </c>
    </row>
    <row r="2">
      <c r="A2" t="inlineStr">
        <is>
          <t>Blue = number copied from a filing or price source (see Inputs sheet); black = Excel formula. Money in millions of the currency the shares trade in (On converted from CHF to USD).</t>
        </is>
      </c>
    </row>
    <row r="4">
      <c r="A4" s="2" t="inlineStr">
        <is>
          <t>Company</t>
        </is>
      </c>
      <c r="B4" s="2" t="inlineStr">
        <is>
          <t>Accounting</t>
        </is>
      </c>
      <c r="C4" s="2" t="inlineStr">
        <is>
          <t>Period</t>
        </is>
      </c>
      <c r="D4" s="2" t="inlineStr">
        <is>
          <t>Latest period end</t>
        </is>
      </c>
      <c r="E4" s="2" t="inlineStr">
        <is>
          <t>Trades in</t>
        </is>
      </c>
      <c r="F4" s="2" t="inlineStr">
        <is>
          <t>Share price</t>
        </is>
      </c>
      <c r="G4" s="2" t="inlineStr">
        <is>
          <t>Diluted shares (m)</t>
        </is>
      </c>
      <c r="H4" s="2" t="inlineStr">
        <is>
          <t>Market cap (m)</t>
        </is>
      </c>
      <c r="I4" s="2" t="inlineStr">
        <is>
          <t>Debt excl. leases (m)</t>
        </is>
      </c>
      <c r="J4" s="2" t="inlineStr">
        <is>
          <t>Cash (m)</t>
        </is>
      </c>
      <c r="K4" s="2" t="inlineStr">
        <is>
          <t>Non-controlling interests (m)</t>
        </is>
      </c>
      <c r="L4" s="2" t="inlineStr">
        <is>
          <t>Enterprise value (m)</t>
        </is>
      </c>
      <c r="M4" s="2" t="inlineStr">
        <is>
          <t>Revenue TTM (m)</t>
        </is>
      </c>
      <c r="N4" s="2" t="inlineStr">
        <is>
          <t>Revenue year earlier (m)</t>
        </is>
      </c>
      <c r="O4" s="2" t="inlineStr">
        <is>
          <t>Operating income TTM (m)</t>
        </is>
      </c>
      <c r="P4" s="2" t="inlineStr">
        <is>
          <t>D&amp;A TTM (m)</t>
        </is>
      </c>
      <c r="Q4" s="2" t="inlineStr">
        <is>
          <t>IFRS lease cost removed (m)</t>
        </is>
      </c>
      <c r="R4" s="2" t="inlineStr">
        <is>
          <t>EBITDA TTM (m)</t>
        </is>
      </c>
      <c r="S4" s="2" t="inlineStr">
        <is>
          <t>Net income TTM (m)</t>
        </is>
      </c>
      <c r="T4" s="2" t="inlineStr">
        <is>
          <t>EV / EBITDA (x)</t>
        </is>
      </c>
      <c r="U4" s="2" t="inlineStr">
        <is>
          <t>P / E (x)</t>
        </is>
      </c>
      <c r="V4" s="2" t="inlineStr">
        <is>
          <t>Revenue growth TTM (%)</t>
        </is>
      </c>
      <c r="W4" s="2" t="inlineStr">
        <is>
          <t>Revenue CAGR 3y (%)</t>
        </is>
      </c>
      <c r="X4" s="2" t="inlineStr">
        <is>
          <t>Operating margin TTM (%)</t>
        </is>
      </c>
      <c r="Y4" s="2" t="inlineStr">
        <is>
          <t>USD per trading-currency unit</t>
        </is>
      </c>
      <c r="Z4" s="2" t="inlineStr">
        <is>
          <t>Market cap (USD m)</t>
        </is>
      </c>
      <c r="AA4" s="2" t="inlineStr">
        <is>
          <t>Enterprise value (USD m)</t>
        </is>
      </c>
      <c r="AB4" s="2" t="inlineStr">
        <is>
          <t>CAGR window</t>
        </is>
      </c>
    </row>
    <row r="5">
      <c r="A5" s="3" t="inlineStr">
        <is>
          <t>Nike</t>
        </is>
      </c>
      <c r="B5" s="3" t="inlineStr">
        <is>
          <t>US GAAP</t>
        </is>
      </c>
      <c r="C5" s="3" t="inlineStr">
        <is>
          <t>TTM (last full fiscal year + year to date - prior year to date)</t>
        </is>
      </c>
      <c r="D5" s="3" t="inlineStr">
        <is>
          <t>2026-08-31</t>
        </is>
      </c>
      <c r="E5" s="3" t="inlineStr">
        <is>
          <t>USD</t>
        </is>
      </c>
      <c r="F5" s="4" t="n">
        <v>33.87</v>
      </c>
      <c r="G5" s="4" t="n">
        <v>1484.2</v>
      </c>
      <c r="H5" s="5">
        <f>F5*G5</f>
        <v/>
      </c>
      <c r="I5" s="4" t="n">
        <v>7893</v>
      </c>
      <c r="J5" s="4" t="n">
        <v>8368</v>
      </c>
      <c r="K5" s="4" t="n">
        <v>0</v>
      </c>
      <c r="L5" s="5">
        <f>H5+I5-J5+K5</f>
        <v/>
      </c>
      <c r="M5" s="4" t="n">
        <v>45891</v>
      </c>
      <c r="N5" s="4" t="n">
        <v>46440</v>
      </c>
      <c r="O5" s="4" t="n">
        <v>3758</v>
      </c>
      <c r="P5" s="4" t="n">
        <v>750</v>
      </c>
      <c r="Q5" s="4" t="n">
        <v>0</v>
      </c>
      <c r="R5" s="5">
        <f>O5+P5-Q5</f>
        <v/>
      </c>
      <c r="S5" s="4" t="n">
        <v>3093</v>
      </c>
      <c r="T5" s="5">
        <f>IF(R5&gt;0,L5/R5,"n.m.")</f>
        <v/>
      </c>
      <c r="U5" s="5">
        <f>IF(S5&gt;0,H5/S5,"n.m.")</f>
        <v/>
      </c>
      <c r="V5" s="5">
        <f>(M5/N5-1)*100</f>
        <v/>
      </c>
      <c r="W5" s="4" t="n">
        <v>-3.239455324773177</v>
      </c>
      <c r="X5" s="5">
        <f>O5/M5*100</f>
        <v/>
      </c>
      <c r="Y5" s="4" t="n">
        <v>1</v>
      </c>
      <c r="Z5" s="5">
        <f>H5*Y5</f>
        <v/>
      </c>
      <c r="AA5" s="5">
        <f>L5*Y5</f>
        <v/>
      </c>
      <c r="AB5" s="3" t="inlineStr">
        <is>
          <t>FY ending 2023-05-31 to FY ending 2026-05-31 (3.00 yrs)</t>
        </is>
      </c>
    </row>
    <row r="6">
      <c r="A6" t="inlineStr">
        <is>
          <t>adidas</t>
        </is>
      </c>
      <c r="B6" t="inlineStr">
        <is>
          <t>IFRS</t>
        </is>
      </c>
      <c r="C6" t="inlineStr">
        <is>
          <t>TTM (FY2025 annual report + H1 2026 - H1 2025), NON-SEC</t>
        </is>
      </c>
      <c r="D6" t="inlineStr">
        <is>
          <t>2026-06-30</t>
        </is>
      </c>
      <c r="E6" t="inlineStr">
        <is>
          <t>EUR</t>
        </is>
      </c>
      <c r="F6" s="6" t="n">
        <v>144.05</v>
      </c>
      <c r="G6" s="6" t="n">
        <v>175.070638</v>
      </c>
      <c r="H6" s="7">
        <f>F6*G6</f>
        <v/>
      </c>
      <c r="I6" s="6" t="n">
        <v>3049</v>
      </c>
      <c r="J6" s="6" t="n">
        <v>1159</v>
      </c>
      <c r="K6" s="6" t="n">
        <v>395</v>
      </c>
      <c r="L6" s="7">
        <f>H6+I6-J6+K6</f>
        <v/>
      </c>
      <c r="M6" s="6" t="n">
        <v>26041</v>
      </c>
      <c r="N6" s="6" t="n">
        <v>24508</v>
      </c>
      <c r="O6" s="6" t="n">
        <v>2179</v>
      </c>
      <c r="P6" s="6" t="n">
        <v>1162</v>
      </c>
      <c r="Q6" s="6" t="n">
        <v>748</v>
      </c>
      <c r="R6" s="7">
        <f>O6+P6-Q6</f>
        <v/>
      </c>
      <c r="S6" s="6" t="n">
        <v>1381</v>
      </c>
      <c r="T6" s="7">
        <f>IF(R6&gt;0,L6/R6,"n.m.")</f>
        <v/>
      </c>
      <c r="U6" s="7">
        <f>IF(S6&gt;0,H6/S6,"n.m.")</f>
        <v/>
      </c>
      <c r="V6" s="7">
        <f>(M6/N6-1)*100</f>
        <v/>
      </c>
      <c r="W6" s="6" t="n">
        <v>3.295918152740485</v>
      </c>
      <c r="X6" s="7">
        <f>O6/M6*100</f>
        <v/>
      </c>
      <c r="Y6" s="6" t="n">
        <v>1.125</v>
      </c>
      <c r="Z6" s="7">
        <f>H6*Y6</f>
        <v/>
      </c>
      <c r="AA6" s="7">
        <f>L6*Y6</f>
        <v/>
      </c>
      <c r="AB6" t="inlineStr">
        <is>
          <t>FY2022 to FY2025 (3.00 yrs); Reebok already excluded from 2020 on</t>
        </is>
      </c>
    </row>
    <row r="7">
      <c r="A7" t="inlineStr">
        <is>
          <t>Lululemon</t>
        </is>
      </c>
      <c r="B7" t="inlineStr">
        <is>
          <t>US GAAP</t>
        </is>
      </c>
      <c r="C7" t="inlineStr">
        <is>
          <t>TTM (last full fiscal year + year to date - prior year to date)</t>
        </is>
      </c>
      <c r="D7" t="inlineStr">
        <is>
          <t>2026-08-02</t>
        </is>
      </c>
      <c r="E7" t="inlineStr">
        <is>
          <t>USD</t>
        </is>
      </c>
      <c r="F7" s="6" t="n">
        <v>94.45999999999999</v>
      </c>
      <c r="G7" s="6" t="n">
        <v>112.919</v>
      </c>
      <c r="H7" s="7">
        <f>F7*G7</f>
        <v/>
      </c>
      <c r="I7" s="6" t="n">
        <v>0</v>
      </c>
      <c r="J7" s="6" t="n">
        <v>1389.737</v>
      </c>
      <c r="K7" s="6" t="n">
        <v>0</v>
      </c>
      <c r="L7" s="7">
        <f>H7+I7-J7+K7</f>
        <v/>
      </c>
      <c r="M7" s="6" t="n">
        <v>11093.955</v>
      </c>
      <c r="N7" s="6" t="n">
        <v>10904.036</v>
      </c>
      <c r="O7" s="6" t="n">
        <v>1978.775</v>
      </c>
      <c r="P7" s="6" t="n">
        <v>539.651</v>
      </c>
      <c r="Q7" s="6" t="n">
        <v>0</v>
      </c>
      <c r="R7" s="7">
        <f>O7+P7-Q7</f>
        <v/>
      </c>
      <c r="S7" s="6" t="n">
        <v>1417.977</v>
      </c>
      <c r="T7" s="7">
        <f>IF(R7&gt;0,L7/R7,"n.m.")</f>
        <v/>
      </c>
      <c r="U7" s="7">
        <f>IF(S7&gt;0,H7/S7,"n.m.")</f>
        <v/>
      </c>
      <c r="V7" s="7">
        <f>(M7/N7-1)*100</f>
        <v/>
      </c>
      <c r="W7" s="6" t="n">
        <v>11.00032959248216</v>
      </c>
      <c r="X7" s="7">
        <f>O7/M7*100</f>
        <v/>
      </c>
      <c r="Y7" s="6" t="n">
        <v>1</v>
      </c>
      <c r="Z7" s="7">
        <f>H7*Y7</f>
        <v/>
      </c>
      <c r="AA7" s="7">
        <f>L7*Y7</f>
        <v/>
      </c>
      <c r="AB7" t="inlineStr">
        <is>
          <t>FY ending 2023-01-29 to FY ending 2026-02-01 (3.01 yrs)</t>
        </is>
      </c>
    </row>
    <row r="8">
      <c r="A8" t="inlineStr">
        <is>
          <t>Deckers</t>
        </is>
      </c>
      <c r="B8" t="inlineStr">
        <is>
          <t>US GAAP</t>
        </is>
      </c>
      <c r="C8" t="inlineStr">
        <is>
          <t>TTM (last full fiscal year + year to date - prior year to date)</t>
        </is>
      </c>
      <c r="D8" t="inlineStr">
        <is>
          <t>2026-06-30</t>
        </is>
      </c>
      <c r="E8" t="inlineStr">
        <is>
          <t>USD</t>
        </is>
      </c>
      <c r="F8" s="6" t="n">
        <v>79.12</v>
      </c>
      <c r="G8" s="6" t="n">
        <v>138.559</v>
      </c>
      <c r="H8" s="7">
        <f>F8*G8</f>
        <v/>
      </c>
      <c r="I8" s="6" t="n">
        <v>0</v>
      </c>
      <c r="J8" s="6" t="n">
        <v>1602.589</v>
      </c>
      <c r="K8" s="6" t="n">
        <v>0</v>
      </c>
      <c r="L8" s="7">
        <f>H8+I8-J8+K8</f>
        <v/>
      </c>
      <c r="M8" s="6" t="n">
        <v>5527.289</v>
      </c>
      <c r="N8" s="6" t="n">
        <v>5124.803</v>
      </c>
      <c r="O8" s="6" t="n">
        <v>1252.917</v>
      </c>
      <c r="P8" s="6" t="n">
        <v>74.062</v>
      </c>
      <c r="Q8" s="6" t="n">
        <v>0</v>
      </c>
      <c r="R8" s="7">
        <f>O8+P8-Q8</f>
        <v/>
      </c>
      <c r="S8" s="6" t="n">
        <v>1014.84</v>
      </c>
      <c r="T8" s="7">
        <f>IF(R8&gt;0,L8/R8,"n.m.")</f>
        <v/>
      </c>
      <c r="U8" s="7">
        <f>IF(S8&gt;0,H8/S8,"n.m.")</f>
        <v/>
      </c>
      <c r="V8" s="7">
        <f>(M8/N8-1)*100</f>
        <v/>
      </c>
      <c r="W8" s="6" t="n">
        <v>14.68739321411621</v>
      </c>
      <c r="X8" s="7">
        <f>O8/M8*100</f>
        <v/>
      </c>
      <c r="Y8" s="6" t="n">
        <v>1</v>
      </c>
      <c r="Z8" s="7">
        <f>H8*Y8</f>
        <v/>
      </c>
      <c r="AA8" s="7">
        <f>L8*Y8</f>
        <v/>
      </c>
      <c r="AB8" t="inlineStr">
        <is>
          <t>FY ending 2023-03-31 to FY ending 2026-03-31 (3.00 yrs)</t>
        </is>
      </c>
    </row>
    <row r="9">
      <c r="A9" t="inlineStr">
        <is>
          <t>On Holding</t>
        </is>
      </c>
      <c r="B9" t="inlineStr">
        <is>
          <t>IFRS</t>
        </is>
      </c>
      <c r="C9" t="inlineStr">
        <is>
          <t>TTM (FY2025 20-F + H1 2026 6-K - H1 2025)</t>
        </is>
      </c>
      <c r="D9" t="inlineStr">
        <is>
          <t>2026-06-30</t>
        </is>
      </c>
      <c r="E9" t="inlineStr">
        <is>
          <t>USD</t>
        </is>
      </c>
      <c r="F9" s="6" t="n">
        <v>30.85</v>
      </c>
      <c r="G9" s="6" t="n">
        <v>335.8841035</v>
      </c>
      <c r="H9" s="7">
        <f>F9*G9</f>
        <v/>
      </c>
      <c r="I9" s="6" t="n">
        <v>0</v>
      </c>
      <c r="J9" s="6" t="n">
        <v>1451.66296</v>
      </c>
      <c r="K9" s="6" t="n">
        <v>0</v>
      </c>
      <c r="L9" s="7">
        <f>H9+I9-J9+K9</f>
        <v/>
      </c>
      <c r="M9" s="6" t="n">
        <v>3877.68364</v>
      </c>
      <c r="N9" s="6" t="n">
        <v>3272.98462</v>
      </c>
      <c r="O9" s="6" t="n">
        <v>534.74081</v>
      </c>
      <c r="P9" s="6" t="n">
        <v>167.12908</v>
      </c>
      <c r="Q9" s="6" t="n">
        <v>134.73879</v>
      </c>
      <c r="R9" s="7">
        <f>O9+P9-Q9</f>
        <v/>
      </c>
      <c r="S9" s="6" t="n">
        <v>477.06442</v>
      </c>
      <c r="T9" s="7">
        <f>IF(R9&gt;0,L9/R9,"n.m.")</f>
        <v/>
      </c>
      <c r="U9" s="7">
        <f>IF(S9&gt;0,H9/S9,"n.m.")</f>
        <v/>
      </c>
      <c r="V9" s="7">
        <f>(M9/N9-1)*100</f>
        <v/>
      </c>
      <c r="W9" s="6" t="n">
        <v>35.09803320836082</v>
      </c>
      <c r="X9" s="7">
        <f>O9/M9*100</f>
        <v/>
      </c>
      <c r="Y9" s="6" t="n">
        <v>1</v>
      </c>
      <c r="Z9" s="7">
        <f>H9*Y9</f>
        <v/>
      </c>
      <c r="AA9" s="7">
        <f>L9*Y9</f>
        <v/>
      </c>
      <c r="AB9" t="inlineStr">
        <is>
          <t>FY ending 2022-12-31 to FY ending 2025-12-31 (3.00 yrs)</t>
        </is>
      </c>
    </row>
    <row r="10">
      <c r="A10" t="inlineStr">
        <is>
          <t>Under Armour</t>
        </is>
      </c>
      <c r="B10" t="inlineStr">
        <is>
          <t>US GAAP</t>
        </is>
      </c>
      <c r="C10" t="inlineStr">
        <is>
          <t>TTM (last full fiscal year + year to date - prior year to date)</t>
        </is>
      </c>
      <c r="D10" t="inlineStr">
        <is>
          <t>2026-06-30</t>
        </is>
      </c>
      <c r="E10" t="inlineStr">
        <is>
          <t>USD</t>
        </is>
      </c>
      <c r="F10" s="6" t="n">
        <v>4.71</v>
      </c>
      <c r="G10" s="6" t="n">
        <v>431.937</v>
      </c>
      <c r="H10" s="7">
        <f>F10*G10</f>
        <v/>
      </c>
      <c r="I10" s="6" t="n">
        <v>591.158</v>
      </c>
      <c r="J10" s="6" t="n">
        <v>395.981</v>
      </c>
      <c r="K10" s="6" t="n">
        <v>0</v>
      </c>
      <c r="L10" s="7">
        <f>H10+I10-J10+K10</f>
        <v/>
      </c>
      <c r="M10" s="6" t="n">
        <v>4930.229</v>
      </c>
      <c r="N10" s="6" t="n">
        <v>5114.713</v>
      </c>
      <c r="O10" s="6" t="n">
        <v>-119.696</v>
      </c>
      <c r="P10" s="6" t="n">
        <v>106.06</v>
      </c>
      <c r="Q10" s="6" t="n">
        <v>0</v>
      </c>
      <c r="R10" s="7">
        <f>O10+P10-Q10</f>
        <v/>
      </c>
      <c r="S10" s="6" t="n">
        <v>-492.486</v>
      </c>
      <c r="T10" s="7">
        <f>IF(R10&gt;0,L10/R10,"n.m.")</f>
        <v/>
      </c>
      <c r="U10" s="7">
        <f>IF(S10&gt;0,H10/S10,"n.m.")</f>
        <v/>
      </c>
      <c r="V10" s="7">
        <f>(M10/N10-1)*100</f>
        <v/>
      </c>
      <c r="W10" s="6" t="n">
        <v>-5.595994282504946</v>
      </c>
      <c r="X10" s="7">
        <f>O10/M10*100</f>
        <v/>
      </c>
      <c r="Y10" s="6" t="n">
        <v>1</v>
      </c>
      <c r="Z10" s="7">
        <f>H10*Y10</f>
        <v/>
      </c>
      <c r="AA10" s="7">
        <f>L10*Y10</f>
        <v/>
      </c>
      <c r="AB10" t="inlineStr">
        <is>
          <t>FY ending 2023-03-31 to FY ending 2026-03-31 (3.00 yrs)</t>
        </is>
      </c>
    </row>
    <row r="11">
      <c r="A11" s="8" t="inlineStr">
        <is>
          <t>Peer median (excl. Nike)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9">
        <f>MEDIAN(T6:T10)</f>
        <v/>
      </c>
      <c r="U11" s="9">
        <f>MEDIAN(U6:U10)</f>
        <v/>
      </c>
      <c r="V11" s="9">
        <f>MEDIAN(V6:V10)</f>
        <v/>
      </c>
      <c r="W11" s="9">
        <f>MEDIAN(W6:W10)</f>
        <v/>
      </c>
      <c r="X11" s="9">
        <f>MEDIAN(X6:X10)</f>
        <v/>
      </c>
      <c r="Y11" s="7" t="n"/>
      <c r="Z11" s="7" t="n"/>
      <c r="AA1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9" customWidth="1" min="4" max="4"/>
    <col width="24" customWidth="1" min="5" max="5"/>
    <col width="140" customWidth="1" min="6" max="6"/>
  </cols>
  <sheetData>
    <row r="1">
      <c r="A1" s="8" t="inlineStr">
        <is>
          <t>company</t>
        </is>
      </c>
      <c r="B1" s="8" t="inlineStr">
        <is>
          <t>item</t>
        </is>
      </c>
      <c r="C1" s="8" t="inlineStr">
        <is>
          <t>value</t>
        </is>
      </c>
      <c r="D1" s="8" t="inlineStr">
        <is>
          <t>currency</t>
        </is>
      </c>
      <c r="E1" s="8" t="inlineStr">
        <is>
          <t>period</t>
        </is>
      </c>
      <c r="F1" s="8" t="inlineStr">
        <is>
          <t>source</t>
        </is>
      </c>
    </row>
    <row r="2">
      <c r="A2" t="inlineStr">
        <is>
          <t>Nike</t>
        </is>
      </c>
      <c r="B2" t="inlineStr">
        <is>
          <t>Revenue TTM</t>
        </is>
      </c>
      <c r="C2" t="n">
        <v>45891</v>
      </c>
      <c r="D2" t="inlineStr">
        <is>
          <t>USD</t>
        </is>
      </c>
      <c r="E2" t="inlineStr">
        <is>
          <t>2026-08-31</t>
        </is>
      </c>
      <c r="F2" t="inlineStr">
        <is>
          <t>RevenueFromContractWithCustomerExcludingAssessedTax 2025-06-01..2026-05-31 = 46,398.0m (10-K 0000320187-26-000088 filed 2026-07-15); RevenueFromContractWithCustomerExcludingAssessedTax 2026-06-01..2026-08-31 = 11,213.0m (10-Q 0000320187-26-000193 filed 2026-10-02); RevenueFromContractWithCustomerExcludingAssessedTax 2025-06-01..2025-08-31 = 11,720.0m (10-Q 0000320187-26-000193 filed 2026-10-02); RevenueFromContractWithCustomerExcludingAssessedTax 2024-06-01..2025-05-31 = 46,309.0m (10-K 0000320187-26-000088 filed 2026-07-15); RevenueFromContractWithCustomerExcludingAssessedTax 2024-06-01..2024-08-31 = 11,589.0m (10-Q 0000320187-25-000097 filed 2025-10-01)</t>
        </is>
      </c>
    </row>
    <row r="3">
      <c r="A3" t="inlineStr">
        <is>
          <t>Nike</t>
        </is>
      </c>
      <c r="B3" t="inlineStr">
        <is>
          <t>Revenue TTM one year earlier</t>
        </is>
      </c>
      <c r="C3" t="n">
        <v>46440</v>
      </c>
      <c r="D3" t="inlineStr">
        <is>
          <t>USD</t>
        </is>
      </c>
      <c r="E3" t="inlineStr"/>
      <c r="F3" t="inlineStr">
        <is>
          <t>same filings as above</t>
        </is>
      </c>
    </row>
    <row r="4">
      <c r="A4" t="inlineStr">
        <is>
          <t>Nike</t>
        </is>
      </c>
      <c r="B4" t="inlineStr">
        <is>
          <t>Gross profit TTM</t>
        </is>
      </c>
      <c r="C4" t="n">
        <v>19766</v>
      </c>
      <c r="D4" t="inlineStr">
        <is>
          <t>USD</t>
        </is>
      </c>
      <c r="E4" t="inlineStr">
        <is>
          <t>2026-08-31</t>
        </is>
      </c>
      <c r="F4" t="inlineStr">
        <is>
          <t>GrossProfit 2025-06-01..2026-05-31 = 19,911.0m (10-K 0000320187-26-000088 filed 2026-07-15); GrossProfit 2026-06-01..2026-08-31 = 4,798.0m (10-Q 0000320187-26-000193 filed 2026-10-02); GrossProfit 2025-06-01..2025-08-31 = 4,943.0m (10-Q 0000320187-26-000193 filed 2026-10-02)</t>
        </is>
      </c>
    </row>
    <row r="5">
      <c r="A5" t="inlineStr">
        <is>
          <t>Nike</t>
        </is>
      </c>
      <c r="B5" t="inlineStr">
        <is>
          <t>Selling &amp; administrative expense TTM</t>
        </is>
      </c>
      <c r="C5" t="n">
        <v>16008</v>
      </c>
      <c r="D5" t="inlineStr">
        <is>
          <t>USD</t>
        </is>
      </c>
      <c r="E5" t="inlineStr">
        <is>
          <t>2026-08-31</t>
        </is>
      </c>
      <c r="F5" t="inlineStr">
        <is>
          <t>SellingGeneralAndAdministrativeExpense 2025-06-01..2026-05-31 = 16,114.0m (10-K 0000320187-26-000088 filed 2026-07-15); SellingGeneralAndAdministrativeExpense 2026-06-01..2026-08-31 = 3,910.0m (10-Q 0000320187-26-000193 filed 2026-10-02); SellingGeneralAndAdministrativeExpense 2025-06-01..2025-08-31 = 4,016.0m (10-Q 0000320187-26-000193 filed 2026-10-02)</t>
        </is>
      </c>
    </row>
    <row r="6">
      <c r="A6" t="inlineStr">
        <is>
          <t>Nike</t>
        </is>
      </c>
      <c r="B6" t="inlineStr">
        <is>
          <t>Operating income TTM (gross profit - S&amp;A)</t>
        </is>
      </c>
      <c r="C6" t="n">
        <v>3758</v>
      </c>
      <c r="D6" t="inlineStr">
        <is>
          <t>USD</t>
        </is>
      </c>
      <c r="E6" t="inlineStr">
        <is>
          <t>2026-08-31</t>
        </is>
      </c>
      <c r="F6" t="inlineStr">
        <is>
          <t>calculated</t>
        </is>
      </c>
    </row>
    <row r="7">
      <c r="A7" t="inlineStr">
        <is>
          <t>Nike</t>
        </is>
      </c>
      <c r="B7" t="inlineStr">
        <is>
          <t>Depreciation &amp; amortization TTM</t>
        </is>
      </c>
      <c r="C7" t="n">
        <v>750</v>
      </c>
      <c r="D7" t="inlineStr">
        <is>
          <t>USD</t>
        </is>
      </c>
      <c r="E7" t="inlineStr">
        <is>
          <t>2026-08-31</t>
        </is>
      </c>
      <c r="F7" t="inlineStr">
        <is>
          <t>DepreciationDepletionAndAmortization 2025-06-01..2026-05-31 = 747.0m (10-K 0000320187-26-000088 filed 2026-07-15); DepreciationDepletionAndAmortization 2026-06-01..2026-08-31 = 193.0m (10-Q 0000320187-26-000193 filed 2026-10-02); DepreciationDepletionAndAmortization 2025-06-01..2025-08-31 = 190.0m (10-Q 0000320187-26-000193 filed 2026-10-02)</t>
        </is>
      </c>
    </row>
    <row r="8">
      <c r="A8" t="inlineStr">
        <is>
          <t>Nike</t>
        </is>
      </c>
      <c r="B8" t="inlineStr">
        <is>
          <t>Net income TTM</t>
        </is>
      </c>
      <c r="C8" t="n">
        <v>3093</v>
      </c>
      <c r="D8" t="inlineStr">
        <is>
          <t>USD</t>
        </is>
      </c>
      <c r="E8" t="inlineStr">
        <is>
          <t>2026-08-31</t>
        </is>
      </c>
      <c r="F8" t="inlineStr">
        <is>
          <t>NetIncomeLoss 2025-06-01..2026-05-31 = 3,108.0m (10-K 0000320187-26-000088 filed 2026-07-15); NetIncomeLoss 2026-06-01..2026-08-31 = 712.0m (10-Q 0000320187-26-000193 filed 2026-10-02); NetIncomeLoss 2025-06-01..2025-08-31 = 727.0m (10-Q 0000320187-26-000193 filed 2026-10-02)</t>
        </is>
      </c>
    </row>
    <row r="9">
      <c r="A9" t="inlineStr">
        <is>
          <t>Nike</t>
        </is>
      </c>
      <c r="B9" t="inlineStr">
        <is>
          <t>Revenue, latest fiscal year</t>
        </is>
      </c>
      <c r="C9" t="n">
        <v>46398</v>
      </c>
      <c r="D9" t="inlineStr">
        <is>
          <t>USD</t>
        </is>
      </c>
      <c r="E9" t="inlineStr">
        <is>
          <t>2026-05-31</t>
        </is>
      </c>
      <c r="F9" t="inlineStr">
        <is>
          <t>RevenueFromContractWithCustomerExcludingAssessedTax 2025-06-01..2026-05-31 = 46,398.0m (10-K 0000320187-26-000088 filed 2026-07-15)</t>
        </is>
      </c>
    </row>
    <row r="10">
      <c r="A10" t="inlineStr">
        <is>
          <t>Nike</t>
        </is>
      </c>
      <c r="B10" t="inlineStr">
        <is>
          <t>Revenue, fiscal year at start of CAGR window</t>
        </is>
      </c>
      <c r="C10" t="n">
        <v>51217</v>
      </c>
      <c r="D10" t="inlineStr">
        <is>
          <t>USD</t>
        </is>
      </c>
      <c r="E10" t="inlineStr">
        <is>
          <t>2023-05-31</t>
        </is>
      </c>
      <c r="F10" t="inlineStr">
        <is>
          <t>RevenueFromContractWithCustomerExcludingAssessedTax 2022-06-01..2023-05-31 = 51,217.0m (10-K 0000320187-25-000047 filed 2025-07-17); window 3.00 years</t>
        </is>
      </c>
    </row>
    <row r="11">
      <c r="A11" t="inlineStr">
        <is>
          <t>Nike</t>
        </is>
      </c>
      <c r="B11" t="inlineStr">
        <is>
          <t>Debt excl. leases</t>
        </is>
      </c>
      <c r="C11" t="n">
        <v>7893</v>
      </c>
      <c r="D11" t="inlineStr">
        <is>
          <t>USD</t>
        </is>
      </c>
      <c r="E11" t="inlineStr">
        <is>
          <t>2026-08-31</t>
        </is>
      </c>
      <c r="F11" t="inlineStr">
        <is>
          <t>output/04_latest_balance_sheet_and_shares.csv (Nike 10-Q filed 2026-10-02)</t>
        </is>
      </c>
    </row>
    <row r="12">
      <c r="A12" t="inlineStr">
        <is>
          <t>Nike</t>
        </is>
      </c>
      <c r="B12" t="inlineStr">
        <is>
          <t>Cash (and short-term investments)</t>
        </is>
      </c>
      <c r="C12" t="n">
        <v>8368</v>
      </c>
      <c r="D12" t="inlineStr">
        <is>
          <t>USD</t>
        </is>
      </c>
      <c r="E12" t="inlineStr">
        <is>
          <t>2026-08-31</t>
        </is>
      </c>
      <c r="F12" t="inlineStr">
        <is>
          <t>output/04_latest_balance_sheet_and_shares.csv (Nike 10-Q filed 2026-10-02)</t>
        </is>
      </c>
    </row>
    <row r="13">
      <c r="A13" t="inlineStr">
        <is>
          <t>Nike</t>
        </is>
      </c>
      <c r="B13" t="inlineStr">
        <is>
          <t>Diluted weighted-average shares, latest quarter (m)</t>
        </is>
      </c>
      <c r="C13" t="n">
        <v>1484.2</v>
      </c>
      <c r="D13" t="inlineStr">
        <is>
          <t>shares</t>
        </is>
      </c>
      <c r="E13" t="inlineStr">
        <is>
          <t>2026-08-31</t>
        </is>
      </c>
      <c r="F13" t="inlineStr">
        <is>
          <t>output/04_latest_balance_sheet_and_shares.csv (Nike 10-Q filed 2026-10-02)</t>
        </is>
      </c>
    </row>
    <row r="14">
      <c r="A14" t="inlineStr">
        <is>
          <t>Nike</t>
        </is>
      </c>
      <c r="B14" t="inlineStr">
        <is>
          <t>Operating lease liabilities (check only)</t>
        </is>
      </c>
      <c r="C14" t="n">
        <v>3179</v>
      </c>
      <c r="D14" t="inlineStr">
        <is>
          <t>USD</t>
        </is>
      </c>
      <c r="E14" t="inlineStr">
        <is>
          <t>2026-08-31</t>
        </is>
      </c>
      <c r="F14" t="inlineStr">
        <is>
          <t>OperatingLeaseLiabilityCurrent = 473.0m (10-Q 0000320187-26-000193 filed 2026-10-02); OperatingLeaseLiabilityNoncurrent = 2,706.0m (10-Q 0000320187-26-000193 filed 2026-10-02)</t>
        </is>
      </c>
    </row>
    <row r="15">
      <c r="A15" t="inlineStr">
        <is>
          <t>Nike</t>
        </is>
      </c>
      <c r="B15" t="inlineStr">
        <is>
          <t>Operating lease cost, latest fiscal year (check only)</t>
        </is>
      </c>
      <c r="C15" t="n">
        <v>693</v>
      </c>
      <c r="D15" t="inlineStr">
        <is>
          <t>USD</t>
        </is>
      </c>
      <c r="E15" t="inlineStr">
        <is>
          <t>2026-05-31</t>
        </is>
      </c>
      <c r="F15" t="inlineStr">
        <is>
          <t>OperatingLeaseCost 2025-06-01..2026-05-31 = 693.0m (10-K 0000320187-26-000088 filed 2026-07-15)</t>
        </is>
      </c>
    </row>
    <row r="16">
      <c r="A16" t="inlineStr">
        <is>
          <t>Lululemon</t>
        </is>
      </c>
      <c r="B16" t="inlineStr">
        <is>
          <t>Revenue TTM</t>
        </is>
      </c>
      <c r="C16" t="n">
        <v>11093.955</v>
      </c>
      <c r="D16" t="inlineStr">
        <is>
          <t>USD</t>
        </is>
      </c>
      <c r="E16" t="inlineStr">
        <is>
          <t>2026-08-02</t>
        </is>
      </c>
      <c r="F16" t="inlineStr">
        <is>
          <t>RevenueFromContractWithCustomerExcludingAssessedTax 2025-02-03..2026-02-01 = 11,102.6m (10-K 0001397187-26-000020 filed 2026-03-17); RevenueFromContractWithCustomerExcludingAssessedTax 2026-02-02..2026-08-02 = 4,887.2m (10-Q 0001397187-26-000127 filed 2026-09-03); RevenueFromContractWithCustomerExcludingAssessedTax 2025-02-03..2025-08-03 = 4,895.9m (10-Q 0001397187-26-000127 filed 2026-09-03); RevenueFromContractWithCustomerExcludingAssessedTax 2024-01-29..2025-02-02 = 10,588.1m (10-K 0001397187-26-000020 filed 2026-03-17); RevenueFromContractWithCustomerExcludingAssessedTax 2024-01-29..2024-07-28 = 4,580.0m (10-Q 0001397187-25-000039 filed 2025-09-04)</t>
        </is>
      </c>
    </row>
    <row r="17">
      <c r="A17" t="inlineStr">
        <is>
          <t>Lululemon</t>
        </is>
      </c>
      <c r="B17" t="inlineStr">
        <is>
          <t>Revenue TTM one year earlier</t>
        </is>
      </c>
      <c r="C17" t="n">
        <v>10904.036</v>
      </c>
      <c r="D17" t="inlineStr">
        <is>
          <t>USD</t>
        </is>
      </c>
      <c r="E17" t="inlineStr"/>
      <c r="F17" t="inlineStr">
        <is>
          <t>same filings as above</t>
        </is>
      </c>
    </row>
    <row r="18">
      <c r="A18" t="inlineStr">
        <is>
          <t>Lululemon</t>
        </is>
      </c>
      <c r="B18" t="inlineStr">
        <is>
          <t>Operating income TTM</t>
        </is>
      </c>
      <c r="C18" t="n">
        <v>1978.775</v>
      </c>
      <c r="D18" t="inlineStr">
        <is>
          <t>USD</t>
        </is>
      </c>
      <c r="E18" t="inlineStr">
        <is>
          <t>2026-08-02</t>
        </is>
      </c>
      <c r="F18" t="inlineStr">
        <is>
          <t>OperatingIncomeLoss 2025-02-03..2026-02-01 = 2,210.6m (10-K 0001397187-26-000020 filed 2026-03-17); OperatingIncomeLoss 2026-02-02..2026-08-02 = 730.6m (10-Q 0001397187-26-000127 filed 2026-09-03); OperatingIncomeLoss 2025-02-03..2025-08-03 = 962.4m (10-Q 0001397187-26-000127 filed 2026-09-03)</t>
        </is>
      </c>
    </row>
    <row r="19">
      <c r="A19" t="inlineStr">
        <is>
          <t>Lululemon</t>
        </is>
      </c>
      <c r="B19" t="inlineStr">
        <is>
          <t>Depreciation &amp; amortization TTM</t>
        </is>
      </c>
      <c r="C19" t="n">
        <v>539.651</v>
      </c>
      <c r="D19" t="inlineStr">
        <is>
          <t>USD</t>
        </is>
      </c>
      <c r="E19" t="inlineStr">
        <is>
          <t>2026-08-02</t>
        </is>
      </c>
      <c r="F19" t="inlineStr">
        <is>
          <t>DepreciationDepletionAndAmortization 2025-02-03..2026-02-01 = 496.2m (10-K 0001397187-26-000020 filed 2026-03-17); DepreciationDepletionAndAmortization 2026-02-02..2026-08-02 = 277.7m (10-Q 0001397187-26-000127 filed 2026-09-03); DepreciationDepletionAndAmortization 2025-02-03..2025-08-03 = 234.2m (10-Q 0001397187-26-000127 filed 2026-09-03)</t>
        </is>
      </c>
    </row>
    <row r="20">
      <c r="A20" t="inlineStr">
        <is>
          <t>Lululemon</t>
        </is>
      </c>
      <c r="B20" t="inlineStr">
        <is>
          <t>Net income TTM</t>
        </is>
      </c>
      <c r="C20" t="n">
        <v>1417.977</v>
      </c>
      <c r="D20" t="inlineStr">
        <is>
          <t>USD</t>
        </is>
      </c>
      <c r="E20" t="inlineStr">
        <is>
          <t>2026-08-02</t>
        </is>
      </c>
      <c r="F20" t="inlineStr">
        <is>
          <t>NetIncomeLoss 2025-02-03..2026-02-01 = 1,579.2m (10-K 0001397187-26-000020 filed 2026-03-17); NetIncomeLoss 2026-02-02..2026-08-02 = 524.3m (10-Q 0001397187-26-000127 filed 2026-09-03); NetIncomeLoss 2025-02-03..2025-08-03 = 685.5m (10-Q 0001397187-26-000127 filed 2026-09-03)</t>
        </is>
      </c>
    </row>
    <row r="21">
      <c r="A21" t="inlineStr">
        <is>
          <t>Lululemon</t>
        </is>
      </c>
      <c r="B21" t="inlineStr">
        <is>
          <t>Revenue, latest fiscal year</t>
        </is>
      </c>
      <c r="C21" t="n">
        <v>11102.6</v>
      </c>
      <c r="D21" t="inlineStr">
        <is>
          <t>USD</t>
        </is>
      </c>
      <c r="E21" t="inlineStr">
        <is>
          <t>2026-02-01</t>
        </is>
      </c>
      <c r="F21" t="inlineStr">
        <is>
          <t>RevenueFromContractWithCustomerExcludingAssessedTax 2025-02-03..2026-02-01 = 11,102.6m (10-K 0001397187-26-000020 filed 2026-03-17)</t>
        </is>
      </c>
    </row>
    <row r="22">
      <c r="A22" t="inlineStr">
        <is>
          <t>Lululemon</t>
        </is>
      </c>
      <c r="B22" t="inlineStr">
        <is>
          <t>Revenue, fiscal year at start of CAGR window</t>
        </is>
      </c>
      <c r="C22" t="n">
        <v>8110.518</v>
      </c>
      <c r="D22" t="inlineStr">
        <is>
          <t>USD</t>
        </is>
      </c>
      <c r="E22" t="inlineStr">
        <is>
          <t>2023-01-29</t>
        </is>
      </c>
      <c r="F22" t="inlineStr">
        <is>
          <t>RevenueFromContractWithCustomerExcludingAssessedTax 2022-01-31..2023-01-29 = 8,110.5m (10-K 0001397187-25-000013 filed 2025-03-27); window 3.01 years</t>
        </is>
      </c>
    </row>
    <row r="23">
      <c r="A23" t="inlineStr">
        <is>
          <t>Lululemon</t>
        </is>
      </c>
      <c r="B23" t="inlineStr">
        <is>
          <t>Debt excl. leases</t>
        </is>
      </c>
      <c r="C23" t="n">
        <v>0</v>
      </c>
      <c r="D23" t="inlineStr">
        <is>
          <t>USD</t>
        </is>
      </c>
      <c r="E23" t="inlineStr">
        <is>
          <t>2026-08-02</t>
        </is>
      </c>
      <c r="F23" t="inlineStr">
        <is>
          <t>ShortTermBorrowings = 0.0m (10-Q 0001397187-26-000127 filed 2026-09-03); OtherBorrowings = 0.0m (10-Q 0001397187-26-000127 filed 2026-09-03)</t>
        </is>
      </c>
    </row>
    <row r="24">
      <c r="A24" t="inlineStr">
        <is>
          <t>Lululemon</t>
        </is>
      </c>
      <c r="B24" t="inlineStr">
        <is>
          <t>Cash (and short-term investments)</t>
        </is>
      </c>
      <c r="C24" t="n">
        <v>1389.737</v>
      </c>
      <c r="D24" t="inlineStr">
        <is>
          <t>USD</t>
        </is>
      </c>
      <c r="E24" t="inlineStr">
        <is>
          <t>2026-08-02</t>
        </is>
      </c>
      <c r="F24" t="inlineStr">
        <is>
          <t>CashCashEquivalentsRestrictedCashAndRestrictedCashEquivalents = 1,389.7m (10-Q 0001397187-26-000127 filed 2026-09-03)</t>
        </is>
      </c>
    </row>
    <row r="25">
      <c r="A25" t="inlineStr">
        <is>
          <t>Lululemon</t>
        </is>
      </c>
      <c r="B25" t="inlineStr">
        <is>
          <t>Diluted weighted-average shares, latest quarter (m)</t>
        </is>
      </c>
      <c r="C25" t="n">
        <v>112.919</v>
      </c>
      <c r="D25" t="inlineStr">
        <is>
          <t>shares</t>
        </is>
      </c>
      <c r="E25" t="inlineStr">
        <is>
          <t>2026-08-02</t>
        </is>
      </c>
      <c r="F25" t="inlineStr">
        <is>
          <t>WeightedAverageNumberOfDilutedSharesOutstanding 2026-05-04..2026-08-02 = 112.9m (10-Q 0001397187-26-000127 filed 2026-09-03)</t>
        </is>
      </c>
    </row>
    <row r="26">
      <c r="A26" t="inlineStr">
        <is>
          <t>Lululemon</t>
        </is>
      </c>
      <c r="B26" t="inlineStr">
        <is>
          <t>Operating lease liabilities (check only)</t>
        </is>
      </c>
      <c r="C26" t="n">
        <v>2141.127</v>
      </c>
      <c r="D26" t="inlineStr">
        <is>
          <t>USD</t>
        </is>
      </c>
      <c r="E26" t="inlineStr">
        <is>
          <t>2026-08-02</t>
        </is>
      </c>
      <c r="F26" t="inlineStr">
        <is>
          <t>OperatingLeaseLiabilityCurrent = 366.6m (10-Q 0001397187-26-000127 filed 2026-09-03); OperatingLeaseLiabilityNoncurrent = 1,774.5m (10-Q 0001397187-26-000127 filed 2026-09-03)</t>
        </is>
      </c>
    </row>
    <row r="27">
      <c r="A27" t="inlineStr">
        <is>
          <t>Lululemon</t>
        </is>
      </c>
      <c r="B27" t="inlineStr">
        <is>
          <t>Operating lease cost, latest fiscal year (check only)</t>
        </is>
      </c>
      <c r="C27" t="n">
        <v>405.987</v>
      </c>
      <c r="D27" t="inlineStr">
        <is>
          <t>USD</t>
        </is>
      </c>
      <c r="E27" t="inlineStr">
        <is>
          <t>2026-02-01</t>
        </is>
      </c>
      <c r="F27" t="inlineStr">
        <is>
          <t>OperatingLeaseCost 2025-02-03..2026-02-01 = 406.0m (10-K 0001397187-26-000020 filed 2026-03-17)</t>
        </is>
      </c>
    </row>
    <row r="28">
      <c r="A28" t="inlineStr">
        <is>
          <t>Deckers</t>
        </is>
      </c>
      <c r="B28" t="inlineStr">
        <is>
          <t>Revenue TTM</t>
        </is>
      </c>
      <c r="C28" t="n">
        <v>5527.289</v>
      </c>
      <c r="D28" t="inlineStr">
        <is>
          <t>USD</t>
        </is>
      </c>
      <c r="E28" t="inlineStr">
        <is>
          <t>2026-06-30</t>
        </is>
      </c>
      <c r="F28" t="inlineStr">
        <is>
          <t>RevenueFromContractWithCustomerExcludingAssessedTax 2025-04-01..2026-03-31 = 5,472.3m (10-K 0001628280-26-037664 filed 2026-05-22); RevenueFromContractWithCustomerExcludingAssessedTax 2026-04-01..2026-06-30 = 1,019.5m (10-Q 0000910521-26-000022 filed 2026-07-30); RevenueFromContractWithCustomerExcludingAssessedTax 2025-04-01..2025-06-30 = 964.5m (10-Q 0000910521-26-000022 filed 2026-07-30); RevenueFromContractWithCustomerExcludingAssessedTax 2024-04-01..2025-03-31 = 4,985.6m (10-K 0001628280-26-037664 filed 2026-05-22); RevenueFromContractWithCustomerExcludingAssessedTax 2024-04-01..2024-06-30 = 825.3m (10-Q 0000910521-25-000037 filed 2025-07-31)</t>
        </is>
      </c>
    </row>
    <row r="29">
      <c r="A29" t="inlineStr">
        <is>
          <t>Deckers</t>
        </is>
      </c>
      <c r="B29" t="inlineStr">
        <is>
          <t>Revenue TTM one year earlier</t>
        </is>
      </c>
      <c r="C29" t="n">
        <v>5124.803</v>
      </c>
      <c r="D29" t="inlineStr">
        <is>
          <t>USD</t>
        </is>
      </c>
      <c r="E29" t="inlineStr"/>
      <c r="F29" t="inlineStr">
        <is>
          <t>same filings as above</t>
        </is>
      </c>
    </row>
    <row r="30">
      <c r="A30" t="inlineStr">
        <is>
          <t>Deckers</t>
        </is>
      </c>
      <c r="B30" t="inlineStr">
        <is>
          <t>Operating income TTM</t>
        </is>
      </c>
      <c r="C30" t="n">
        <v>1252.917</v>
      </c>
      <c r="D30" t="inlineStr">
        <is>
          <t>USD</t>
        </is>
      </c>
      <c r="E30" t="inlineStr">
        <is>
          <t>2026-06-30</t>
        </is>
      </c>
      <c r="F30" t="inlineStr">
        <is>
          <t>OperatingIncomeLoss 2025-04-01..2026-03-31 = 1,262.9m (10-K 0001628280-26-037664 filed 2026-05-22); OperatingIncomeLoss 2026-04-01..2026-06-30 = 155.3m (10-Q 0000910521-26-000022 filed 2026-07-30); OperatingIncomeLoss 2025-04-01..2025-06-30 = 165.3m (10-Q 0000910521-26-000022 filed 2026-07-30)</t>
        </is>
      </c>
    </row>
    <row r="31">
      <c r="A31" t="inlineStr">
        <is>
          <t>Deckers</t>
        </is>
      </c>
      <c r="B31" t="inlineStr">
        <is>
          <t>Depreciation &amp; amortization TTM</t>
        </is>
      </c>
      <c r="C31" t="n">
        <v>74.062</v>
      </c>
      <c r="D31" t="inlineStr">
        <is>
          <t>USD</t>
        </is>
      </c>
      <c r="E31" t="inlineStr">
        <is>
          <t>2026-06-30</t>
        </is>
      </c>
      <c r="F31" t="inlineStr">
        <is>
          <t>DepreciationAmortizationAndAccretionNet 2025-04-01..2026-03-31 = 75.8m (10-K 0001628280-26-037664 filed 2026-05-22); DepreciationAmortizationAndAccretionNet 2026-04-01..2026-06-30 = 17.7m (10-Q 0000910521-26-000022 filed 2026-07-30); DepreciationAmortizationAndAccretionNet 2025-04-01..2025-06-30 = 19.4m (10-Q 0000910521-26-000022 filed 2026-07-30)</t>
        </is>
      </c>
    </row>
    <row r="32">
      <c r="A32" t="inlineStr">
        <is>
          <t>Deckers</t>
        </is>
      </c>
      <c r="B32" t="inlineStr">
        <is>
          <t>Net income TTM</t>
        </is>
      </c>
      <c r="C32" t="n">
        <v>1014.84</v>
      </c>
      <c r="D32" t="inlineStr">
        <is>
          <t>USD</t>
        </is>
      </c>
      <c r="E32" t="inlineStr">
        <is>
          <t>2026-06-30</t>
        </is>
      </c>
      <c r="F32" t="inlineStr">
        <is>
          <t>NetIncomeLoss 2025-04-01..2026-03-31 = 1,024.1m (10-K 0001628280-26-037664 filed 2026-05-22); NetIncomeLoss 2026-04-01..2026-06-30 = 130.0m (10-Q 0000910521-26-000022 filed 2026-07-30); NetIncomeLoss 2025-04-01..2025-06-30 = 139.2m (10-Q 0000910521-26-000022 filed 2026-07-30)</t>
        </is>
      </c>
    </row>
    <row r="33">
      <c r="A33" t="inlineStr">
        <is>
          <t>Deckers</t>
        </is>
      </c>
      <c r="B33" t="inlineStr">
        <is>
          <t>Revenue, latest fiscal year</t>
        </is>
      </c>
      <c r="C33" t="n">
        <v>5472.296</v>
      </c>
      <c r="D33" t="inlineStr">
        <is>
          <t>USD</t>
        </is>
      </c>
      <c r="E33" t="inlineStr">
        <is>
          <t>2026-03-31</t>
        </is>
      </c>
      <c r="F33" t="inlineStr">
        <is>
          <t>RevenueFromContractWithCustomerExcludingAssessedTax 2025-04-01..2026-03-31 = 5,472.3m (10-K 0001628280-26-037664 filed 2026-05-22)</t>
        </is>
      </c>
    </row>
    <row r="34">
      <c r="A34" t="inlineStr">
        <is>
          <t>Deckers</t>
        </is>
      </c>
      <c r="B34" t="inlineStr">
        <is>
          <t>Revenue, fiscal year at start of CAGR window</t>
        </is>
      </c>
      <c r="C34" t="n">
        <v>3627.286</v>
      </c>
      <c r="D34" t="inlineStr">
        <is>
          <t>USD</t>
        </is>
      </c>
      <c r="E34" t="inlineStr">
        <is>
          <t>2023-03-31</t>
        </is>
      </c>
      <c r="F34" t="inlineStr">
        <is>
          <t>RevenueFromContractWithCustomerExcludingAssessedTax 2022-04-01..2023-03-31 = 3,627.3m (10-K 0000910521-25-000017 filed 2025-05-23); window 3.00 years</t>
        </is>
      </c>
    </row>
    <row r="35">
      <c r="A35" t="inlineStr">
        <is>
          <t>Deckers</t>
        </is>
      </c>
      <c r="B35" t="inlineStr">
        <is>
          <t>Debt excl. leases</t>
        </is>
      </c>
      <c r="C35" t="n">
        <v>0</v>
      </c>
      <c r="D35" t="inlineStr">
        <is>
          <t>USD</t>
        </is>
      </c>
      <c r="E35" t="inlineStr">
        <is>
          <t>2026-06-30</t>
        </is>
      </c>
      <c r="F35" t="inlineStr">
        <is>
          <t>ShortTermBorrowings: no value at 2026-06-30, counted as 0; LongTermDebt: no value at 2026-06-30, counted as 0</t>
        </is>
      </c>
    </row>
    <row r="36">
      <c r="A36" t="inlineStr">
        <is>
          <t>Deckers</t>
        </is>
      </c>
      <c r="B36" t="inlineStr">
        <is>
          <t>Cash (and short-term investments)</t>
        </is>
      </c>
      <c r="C36" t="n">
        <v>1602.589</v>
      </c>
      <c r="D36" t="inlineStr">
        <is>
          <t>USD</t>
        </is>
      </c>
      <c r="E36" t="inlineStr">
        <is>
          <t>2026-06-30</t>
        </is>
      </c>
      <c r="F36" t="inlineStr">
        <is>
          <t>CashAndCashEquivalentsAtCarryingValue = 1,602.6m (10-Q 0000910521-26-000022 filed 2026-07-30)</t>
        </is>
      </c>
    </row>
    <row r="37">
      <c r="A37" t="inlineStr">
        <is>
          <t>Deckers</t>
        </is>
      </c>
      <c r="B37" t="inlineStr">
        <is>
          <t>Diluted weighted-average shares, latest quarter (m)</t>
        </is>
      </c>
      <c r="C37" t="n">
        <v>138.559</v>
      </c>
      <c r="D37" t="inlineStr">
        <is>
          <t>shares</t>
        </is>
      </c>
      <c r="E37" t="inlineStr">
        <is>
          <t>2026-06-30</t>
        </is>
      </c>
      <c r="F37" t="inlineStr">
        <is>
          <t>WeightedAverageNumberOfDilutedSharesOutstanding 2026-04-01..2026-06-30 = 138.6m (10-Q 0000910521-26-000022 filed 2026-07-30)</t>
        </is>
      </c>
    </row>
    <row r="38">
      <c r="A38" t="inlineStr">
        <is>
          <t>Deckers</t>
        </is>
      </c>
      <c r="B38" t="inlineStr">
        <is>
          <t>Operating lease liabilities (check only)</t>
        </is>
      </c>
      <c r="C38" t="n">
        <v>472.334</v>
      </c>
      <c r="D38" t="inlineStr">
        <is>
          <t>USD</t>
        </is>
      </c>
      <c r="E38" t="inlineStr">
        <is>
          <t>2026-06-30</t>
        </is>
      </c>
      <c r="F38" t="inlineStr">
        <is>
          <t>OperatingLeaseLiabilityCurrent = 73.4m (10-Q 0000910521-26-000022 filed 2026-07-30); OperatingLeaseLiabilityNoncurrent = 399.0m (10-Q 0000910521-26-000022 filed 2026-07-30)</t>
        </is>
      </c>
    </row>
    <row r="39">
      <c r="A39" t="inlineStr">
        <is>
          <t>Deckers</t>
        </is>
      </c>
      <c r="B39" t="inlineStr">
        <is>
          <t>Operating lease cost, latest fiscal year (check only)</t>
        </is>
      </c>
      <c r="C39" t="n">
        <v>88.92100000000001</v>
      </c>
      <c r="D39" t="inlineStr">
        <is>
          <t>USD</t>
        </is>
      </c>
      <c r="E39" t="inlineStr">
        <is>
          <t>2026-03-31</t>
        </is>
      </c>
      <c r="F39" t="inlineStr">
        <is>
          <t>OperatingLeaseCost 2025-04-01..2026-03-31 = 88.9m (10-K 0001628280-26-037664 filed 2026-05-22)</t>
        </is>
      </c>
    </row>
    <row r="40">
      <c r="A40" t="inlineStr">
        <is>
          <t>Under Armour</t>
        </is>
      </c>
      <c r="B40" t="inlineStr">
        <is>
          <t>Revenue TTM</t>
        </is>
      </c>
      <c r="C40" t="n">
        <v>4930.229</v>
      </c>
      <c r="D40" t="inlineStr">
        <is>
          <t>USD</t>
        </is>
      </c>
      <c r="E40" t="inlineStr">
        <is>
          <t>2026-06-30</t>
        </is>
      </c>
      <c r="F40" t="inlineStr">
        <is>
          <t>RevenueFromContractWithCustomerExcludingAssessedTax 2025-04-01..2026-03-31 = 4,966.4m (10-K 0001336917-26-000073 filed 2026-05-19); RevenueFromContractWithCustomerExcludingAssessedTax 2026-04-01..2026-06-30 = 1,097.9m (10-Q 0001336917-26-000111 filed 2026-08-07); RevenueFromContractWithCustomerExcludingAssessedTax 2025-04-01..2025-06-30 = 1,134.1m (10-Q 0001336917-26-000111 filed 2026-08-07); RevenueFromContractWithCustomerExcludingAssessedTax 2024-04-01..2025-03-31 = 5,164.3m (10-K 0001336917-26-000073 filed 2026-05-19); RevenueFromContractWithCustomerExcludingAssessedTax 2024-04-01..2024-06-30 = 1,183.7m (10-Q 0001336917-25-000136 filed 2025-08-08)</t>
        </is>
      </c>
    </row>
    <row r="41">
      <c r="A41" t="inlineStr">
        <is>
          <t>Under Armour</t>
        </is>
      </c>
      <c r="B41" t="inlineStr">
        <is>
          <t>Revenue TTM one year earlier</t>
        </is>
      </c>
      <c r="C41" t="n">
        <v>5114.713</v>
      </c>
      <c r="D41" t="inlineStr">
        <is>
          <t>USD</t>
        </is>
      </c>
      <c r="E41" t="inlineStr"/>
      <c r="F41" t="inlineStr">
        <is>
          <t>same filings as above</t>
        </is>
      </c>
    </row>
    <row r="42">
      <c r="A42" t="inlineStr">
        <is>
          <t>Under Armour</t>
        </is>
      </c>
      <c r="B42" t="inlineStr">
        <is>
          <t>Operating income TTM</t>
        </is>
      </c>
      <c r="C42" t="n">
        <v>-119.696</v>
      </c>
      <c r="D42" t="inlineStr">
        <is>
          <t>USD</t>
        </is>
      </c>
      <c r="E42" t="inlineStr">
        <is>
          <t>2026-06-30</t>
        </is>
      </c>
      <c r="F42" t="inlineStr">
        <is>
          <t>OperatingIncomeLoss 2025-04-01..2026-03-31 = -163.1m (10-K 0001336917-26-000073 filed 2026-05-19); OperatingIncomeLoss 2026-04-01..2026-06-30 = 46.7m (10-Q 0001336917-26-000111 filed 2026-08-07); OperatingIncomeLoss 2025-04-01..2025-06-30 = 3.3m (10-Q 0001336917-26-000111 filed 2026-08-07)</t>
        </is>
      </c>
    </row>
    <row r="43">
      <c r="A43" t="inlineStr">
        <is>
          <t>Under Armour</t>
        </is>
      </c>
      <c r="B43" t="inlineStr">
        <is>
          <t>Depreciation &amp; amortization TTM</t>
        </is>
      </c>
      <c r="C43" t="n">
        <v>106.06</v>
      </c>
      <c r="D43" t="inlineStr">
        <is>
          <t>USD</t>
        </is>
      </c>
      <c r="E43" t="inlineStr">
        <is>
          <t>2026-06-30</t>
        </is>
      </c>
      <c r="F43" t="inlineStr">
        <is>
          <t>DepreciationDepletionAndAmortization 2025-04-01..2026-03-31 = 109.6m (10-K 0001336917-26-000073 filed 2026-05-19); DepreciationDepletionAndAmortization 2026-04-01..2026-06-30 = 25.4m (10-Q 0001336917-26-000111 filed 2026-08-07); DepreciationDepletionAndAmortization 2025-04-01..2025-06-30 = 29.0m (10-Q 0001336917-26-000111 filed 2026-08-07)</t>
        </is>
      </c>
    </row>
    <row r="44">
      <c r="A44" t="inlineStr">
        <is>
          <t>Under Armour</t>
        </is>
      </c>
      <c r="B44" t="inlineStr">
        <is>
          <t>Net income TTM</t>
        </is>
      </c>
      <c r="C44" t="n">
        <v>-492.486</v>
      </c>
      <c r="D44" t="inlineStr">
        <is>
          <t>USD</t>
        </is>
      </c>
      <c r="E44" t="inlineStr">
        <is>
          <t>2026-06-30</t>
        </is>
      </c>
      <c r="F44" t="inlineStr">
        <is>
          <t>NetIncomeLoss 2025-04-01..2026-03-31 = -495.6m (10-K 0001336917-26-000073 filed 2026-05-19); NetIncomeLoss 2026-04-01..2026-06-30 = 0.5m (10-Q 0001336917-26-000111 filed 2026-08-07); NetIncomeLoss 2025-04-01..2025-06-30 = -2.6m (10-Q 0001336917-26-000111 filed 2026-08-07)</t>
        </is>
      </c>
    </row>
    <row r="45">
      <c r="A45" t="inlineStr">
        <is>
          <t>Under Armour</t>
        </is>
      </c>
      <c r="B45" t="inlineStr">
        <is>
          <t>Revenue, latest fiscal year</t>
        </is>
      </c>
      <c r="C45" t="n">
        <v>4966.37</v>
      </c>
      <c r="D45" t="inlineStr">
        <is>
          <t>USD</t>
        </is>
      </c>
      <c r="E45" t="inlineStr">
        <is>
          <t>2026-03-31</t>
        </is>
      </c>
      <c r="F45" t="inlineStr">
        <is>
          <t>RevenueFromContractWithCustomerExcludingAssessedTax 2025-04-01..2026-03-31 = 4,966.4m (10-K 0001336917-26-000073 filed 2026-05-19)</t>
        </is>
      </c>
    </row>
    <row r="46">
      <c r="A46" t="inlineStr">
        <is>
          <t>Under Armour</t>
        </is>
      </c>
      <c r="B46" t="inlineStr">
        <is>
          <t>Revenue, fiscal year at start of CAGR window</t>
        </is>
      </c>
      <c r="C46" t="n">
        <v>5903.165</v>
      </c>
      <c r="D46" t="inlineStr">
        <is>
          <t>USD</t>
        </is>
      </c>
      <c r="E46" t="inlineStr">
        <is>
          <t>2023-03-31</t>
        </is>
      </c>
      <c r="F46" t="inlineStr">
        <is>
          <t>RevenueFromContractWithCustomerExcludingAssessedTax 2022-04-01..2023-03-31 = 5,903.2m (10-K 0001336917-25-000078 filed 2025-05-22); window 3.00 years</t>
        </is>
      </c>
    </row>
    <row r="47">
      <c r="A47" t="inlineStr">
        <is>
          <t>Under Armour</t>
        </is>
      </c>
      <c r="B47" t="inlineStr">
        <is>
          <t>Debt excl. leases</t>
        </is>
      </c>
      <c r="C47" t="n">
        <v>591.158</v>
      </c>
      <c r="D47" t="inlineStr">
        <is>
          <t>USD</t>
        </is>
      </c>
      <c r="E47" t="inlineStr">
        <is>
          <t>2026-06-30</t>
        </is>
      </c>
      <c r="F47" t="inlineStr">
        <is>
          <t>LongTermDebtNoncurrent = 591.2m (10-Q 0001336917-26-000111 filed 2026-08-07); LongTermDebtCurrent = 0.0m (10-Q 0001336917-26-000111 filed 2026-08-07)</t>
        </is>
      </c>
    </row>
    <row r="48">
      <c r="A48" t="inlineStr">
        <is>
          <t>Under Armour</t>
        </is>
      </c>
      <c r="B48" t="inlineStr">
        <is>
          <t>Cash (and short-term investments)</t>
        </is>
      </c>
      <c r="C48" t="n">
        <v>395.981</v>
      </c>
      <c r="D48" t="inlineStr">
        <is>
          <t>USD</t>
        </is>
      </c>
      <c r="E48" t="inlineStr">
        <is>
          <t>2026-06-30</t>
        </is>
      </c>
      <c r="F48" t="inlineStr">
        <is>
          <t>CashAndCashEquivalentsAtCarryingValue = 396.0m (10-Q 0001336917-26-000111 filed 2026-08-07)</t>
        </is>
      </c>
    </row>
    <row r="49">
      <c r="A49" t="inlineStr">
        <is>
          <t>Under Armour</t>
        </is>
      </c>
      <c r="B49" t="inlineStr">
        <is>
          <t>Diluted weighted-average shares, latest quarter (m)</t>
        </is>
      </c>
      <c r="C49" t="n">
        <v>431.937</v>
      </c>
      <c r="D49" t="inlineStr">
        <is>
          <t>shares</t>
        </is>
      </c>
      <c r="E49" t="inlineStr">
        <is>
          <t>2026-06-30</t>
        </is>
      </c>
      <c r="F49" t="inlineStr">
        <is>
          <t>WeightedAverageNumberOfDilutedSharesOutstanding 2026-04-01..2026-06-30 = 431.9m (10-Q 0001336917-26-000111 filed 2026-08-07)</t>
        </is>
      </c>
    </row>
    <row r="50">
      <c r="A50" t="inlineStr">
        <is>
          <t>Under Armour</t>
        </is>
      </c>
      <c r="B50" t="inlineStr">
        <is>
          <t>Operating lease liabilities (check only)</t>
        </is>
      </c>
      <c r="C50" t="n">
        <v>784.919</v>
      </c>
      <c r="D50" t="inlineStr">
        <is>
          <t>USD</t>
        </is>
      </c>
      <c r="E50" t="inlineStr">
        <is>
          <t>2026-06-30</t>
        </is>
      </c>
      <c r="F50" t="inlineStr">
        <is>
          <t>OperatingLeaseLiabilityCurrent = 152.6m (10-Q 0001336917-26-000111 filed 2026-08-07); OperatingLeaseLiabilityNoncurrent = 632.3m (10-Q 0001336917-26-000111 filed 2026-08-07)</t>
        </is>
      </c>
    </row>
    <row r="51">
      <c r="A51" t="inlineStr">
        <is>
          <t>Under Armour</t>
        </is>
      </c>
      <c r="B51" t="inlineStr">
        <is>
          <t>Operating lease cost, latest fiscal year (check only)</t>
        </is>
      </c>
      <c r="C51" t="n">
        <v>152.208</v>
      </c>
      <c r="D51" t="inlineStr">
        <is>
          <t>USD</t>
        </is>
      </c>
      <c r="E51" t="inlineStr">
        <is>
          <t>2026-03-31</t>
        </is>
      </c>
      <c r="F51" t="inlineStr">
        <is>
          <t>OperatingLeaseCost 2025-04-01..2026-03-31 = 152.2m (10-K 0001336917-26-000073 filed 2026-05-19)</t>
        </is>
      </c>
    </row>
    <row r="52">
      <c r="A52" t="inlineStr">
        <is>
          <t>Under Armour</t>
        </is>
      </c>
      <c r="B52" t="inlineStr">
        <is>
          <t>Restructuring and impairment charges TTM (check only)</t>
        </is>
      </c>
      <c r="C52" t="n">
        <v>118.899</v>
      </c>
      <c r="D52" t="inlineStr">
        <is>
          <t>USD</t>
        </is>
      </c>
      <c r="E52" t="inlineStr">
        <is>
          <t>2026-06-30</t>
        </is>
      </c>
      <c r="F52" t="inlineStr">
        <is>
          <t>RestructuringCostsAndAssetImpairmentCharges 2025-04-01..2026-03-31 = 127.7m (10-K 0001336917-26-000073 filed 2026-05-19); RestructuringCostsAndAssetImpairmentCharges 2026-04-01..2026-06-30 = 4.0m (10-Q 0001336917-26-000111 filed 2026-08-07); RestructuringCostsAndAssetImpairmentCharges 2025-04-01..2025-06-30 = 12.8m (10-Q 0001336917-26-000111 filed 2026-08-07)</t>
        </is>
      </c>
    </row>
    <row r="53">
      <c r="A53" t="inlineStr">
        <is>
          <t>On Holding</t>
        </is>
      </c>
      <c r="B53" t="inlineStr">
        <is>
          <t>Revenue TTM</t>
        </is>
      </c>
      <c r="C53" t="n">
        <v>3220.4</v>
      </c>
      <c r="D53" t="inlineStr">
        <is>
          <t>CHF</t>
        </is>
      </c>
      <c r="E53" t="inlineStr">
        <is>
          <t>2026-06-30</t>
        </is>
      </c>
      <c r="F53" t="inlineStr">
        <is>
          <t>RevenueFromContractsWithCustomers 2025-01-01..2025-12-31 = 3,014.0m (20-F 0001858985-26-000008 filed 2026-03-03); RevenueFromContractsWithCustomers 2026-01-01..2026-06-30 = 1,682.2m (6-K 0001858985-26-000018 filed 2026-08-11); RevenueFromContractsWithCustomers 2025-01-01..2025-06-30 = 1,475.8m (6-K 0001858985-26-000018 filed 2026-08-11)</t>
        </is>
      </c>
    </row>
    <row r="54">
      <c r="A54" t="inlineStr">
        <is>
          <t>On Holding</t>
        </is>
      </c>
      <c r="B54" t="inlineStr">
        <is>
          <t>Revenue TTM one year earlier</t>
        </is>
      </c>
      <c r="C54" t="n">
        <v>2718.2</v>
      </c>
      <c r="D54" t="inlineStr">
        <is>
          <t>CHF</t>
        </is>
      </c>
      <c r="E54" t="inlineStr"/>
      <c r="F54" t="inlineStr">
        <is>
          <t>RevenueFromContractsWithCustomers 2024-01-01..2024-12-31 = 2,318.3m (20-F 0001858985-26-000008 filed 2026-03-03); RevenueFromContractsWithCustomers 2024-01-01..2024-06-30 = 1,075.9m (6-K 0001858985-25-000012 filed 2025-08-12)</t>
        </is>
      </c>
    </row>
    <row r="55">
      <c r="A55" t="inlineStr">
        <is>
          <t>On Holding</t>
        </is>
      </c>
      <c r="B55" t="inlineStr">
        <is>
          <t>Operating result TTM</t>
        </is>
      </c>
      <c r="C55" t="n">
        <v>444.1</v>
      </c>
      <c r="D55" t="inlineStr">
        <is>
          <t>CHF</t>
        </is>
      </c>
      <c r="E55" t="inlineStr">
        <is>
          <t>2026-06-30</t>
        </is>
      </c>
      <c r="F55" t="inlineStr">
        <is>
          <t>ProfitLossFromOperatingActivities 2025-01-01..2025-12-31 = 377.0m (20-F 0001858985-26-000008 filed 2026-03-03); ProfitLossFromOperatingActivities 2026-01-01..2026-06-30 = 236.9m (6-K 0001858985-26-000018 filed 2026-08-11); ProfitLossFromOperatingActivities 2025-01-01..2025-06-30 = 169.8m (6-K 0001858985-26-000018 filed 2026-08-11)</t>
        </is>
      </c>
    </row>
    <row r="56">
      <c r="A56" t="inlineStr">
        <is>
          <t>On Holding</t>
        </is>
      </c>
      <c r="B56" t="inlineStr">
        <is>
          <t>Depreciation &amp; amortization TTM</t>
        </is>
      </c>
      <c r="C56" t="n">
        <v>138.8</v>
      </c>
      <c r="D56" t="inlineStr">
        <is>
          <t>CHF</t>
        </is>
      </c>
      <c r="E56" t="inlineStr">
        <is>
          <t>2026-06-30</t>
        </is>
      </c>
      <c r="F56" t="inlineStr">
        <is>
          <t>AdjustmentsForDepreciationAndAmortisationExpense 2025-01-01..2025-12-31 = 127.4m (20-F 0001858985-26-000008 filed 2026-03-03); AdjustmentsForDepreciationAndAmortisationExpense 2026-01-01..2026-06-30 = 72.1m (6-K 0001858985-26-000018 filed 2026-08-11); AdjustmentsForDepreciationAndAmortisationExpense 2025-01-01..2025-06-30 = 60.7m (6-K 0001858985-26-000018 filed 2026-08-11)</t>
        </is>
      </c>
    </row>
    <row r="57">
      <c r="A57" t="inlineStr">
        <is>
          <t>On Holding</t>
        </is>
      </c>
      <c r="B57" t="inlineStr">
        <is>
          <t>Right-of-use (lease) depreciation TTM</t>
        </is>
      </c>
      <c r="C57" t="n">
        <v>87.90000000000001</v>
      </c>
      <c r="D57" t="inlineStr">
        <is>
          <t>CHF</t>
        </is>
      </c>
      <c r="E57" t="inlineStr">
        <is>
          <t>2026-06-30</t>
        </is>
      </c>
      <c r="F57" t="inlineStr">
        <is>
          <t>DepreciationRightofuseAssets 2025-01-01..2025-12-31 = 79.4m (20-F 0001858985-26-000008 filed 2026-03-03); DepreciationRightofuseAssets 2026-01-01..2026-06-30 = 45.4m (6-K 0001858985-26-000018 filed 2026-08-11); DepreciationRightofuseAssets 2025-01-01..2025-06-30 = 36.9m (6-K 0001858985-26-000018 filed 2026-08-11)</t>
        </is>
      </c>
    </row>
    <row r="58">
      <c r="A58" t="inlineStr">
        <is>
          <t>On Holding</t>
        </is>
      </c>
      <c r="B58" t="inlineStr">
        <is>
          <t>Interest on lease liabilities TTM</t>
        </is>
      </c>
      <c r="C58" t="n">
        <v>24</v>
      </c>
      <c r="D58" t="inlineStr">
        <is>
          <t>CHF</t>
        </is>
      </c>
      <c r="E58" t="inlineStr">
        <is>
          <t>2026-06-30</t>
        </is>
      </c>
      <c r="F58" t="inlineStr">
        <is>
          <t>InterestExpenseOnLeaseLiabilities 2025-01-01..2025-12-31 = 21.4m (20-F 0001858985-26-000008 filed 2026-03-03); InterestExpenseOnLeaseLiabilities 2026-01-01..2026-06-30 = 12.5m (6-K 0001858985-26-000018 filed 2026-08-11); InterestExpenseOnLeaseLiabilities 2025-01-01..2025-06-30 = 9.9m (6-K 0001858985-26-000018 filed 2026-08-11)</t>
        </is>
      </c>
    </row>
    <row r="59">
      <c r="A59" t="inlineStr">
        <is>
          <t>On Holding</t>
        </is>
      </c>
      <c r="B59" t="inlineStr">
        <is>
          <t>Net income attributable to shareholders TTM</t>
        </is>
      </c>
      <c r="C59" t="n">
        <v>396.2</v>
      </c>
      <c r="D59" t="inlineStr">
        <is>
          <t>CHF</t>
        </is>
      </c>
      <c r="E59" t="inlineStr">
        <is>
          <t>2026-06-30</t>
        </is>
      </c>
      <c r="F59" t="inlineStr">
        <is>
          <t>ProfitLossAttributableToOwnersOfParent 2025-01-01..2025-12-31 = 203.7m (20-F 0001858985-26-000008 filed 2026-03-03); ProfitLossAttributableToOwnersOfParent 2026-01-01..2026-06-30 = 208.3m (6-K 0001858985-26-000018 filed 2026-08-11); ProfitLossAttributableToOwnersOfParent 2025-01-01..2025-06-30 = 15.8m (6-K 0001858985-26-000018 filed 2026-08-11)</t>
        </is>
      </c>
    </row>
    <row r="60">
      <c r="A60" t="inlineStr">
        <is>
          <t>On Holding</t>
        </is>
      </c>
      <c r="B60" t="inlineStr">
        <is>
          <t>Revenue, latest fiscal year</t>
        </is>
      </c>
      <c r="C60" t="n">
        <v>3014</v>
      </c>
      <c r="D60" t="inlineStr">
        <is>
          <t>CHF</t>
        </is>
      </c>
      <c r="E60" t="inlineStr">
        <is>
          <t>2025-12-31</t>
        </is>
      </c>
      <c r="F60" t="inlineStr">
        <is>
          <t>RevenueFromContractsWithCustomers 2025-01-01..2025-12-31 = 3,014.0m (20-F 0001858985-26-000008 filed 2026-03-03)</t>
        </is>
      </c>
    </row>
    <row r="61">
      <c r="A61" t="inlineStr">
        <is>
          <t>On Holding</t>
        </is>
      </c>
      <c r="B61" t="inlineStr">
        <is>
          <t>Revenue, fiscal year at start of CAGR window</t>
        </is>
      </c>
      <c r="C61" t="n">
        <v>1222.1</v>
      </c>
      <c r="D61" t="inlineStr">
        <is>
          <t>CHF</t>
        </is>
      </c>
      <c r="E61" t="inlineStr">
        <is>
          <t>2022-12-31</t>
        </is>
      </c>
      <c r="F61" t="inlineStr">
        <is>
          <t>RevenueFromContractsWithCustomers 2022-01-01..2022-12-31 = 1,222.1m (20-F 0001858985-25-000003 filed 2025-03-04)</t>
        </is>
      </c>
    </row>
    <row r="62">
      <c r="A62" t="inlineStr">
        <is>
          <t>On Holding</t>
        </is>
      </c>
      <c r="B62" t="inlineStr">
        <is>
          <t>Cash</t>
        </is>
      </c>
      <c r="C62" t="n">
        <v>1205.6</v>
      </c>
      <c r="D62" t="inlineStr">
        <is>
          <t>CHF</t>
        </is>
      </c>
      <c r="E62" t="inlineStr">
        <is>
          <t>2026-06-30</t>
        </is>
      </c>
      <c r="F62" t="inlineStr">
        <is>
          <t>CashAndCashEquivalents = 1,205.6m (6-K 0001858985-26-000018 filed 2026-08-11)</t>
        </is>
      </c>
    </row>
    <row r="63">
      <c r="A63" t="inlineStr">
        <is>
          <t>On Holding</t>
        </is>
      </c>
      <c r="B63" t="inlineStr">
        <is>
          <t>Debt excl. leases</t>
        </is>
      </c>
      <c r="C63" t="n">
        <v>0</v>
      </c>
      <c r="D63" t="inlineStr">
        <is>
          <t>CHF</t>
        </is>
      </c>
      <c r="E63" t="inlineStr">
        <is>
          <t>2026-06-30</t>
        </is>
      </c>
      <c r="F63" t="inlineStr">
        <is>
          <t>6-K H1 2026 tags Borrowings = 0 (no bank loans or bonds); lease liabilities excluded</t>
        </is>
      </c>
    </row>
    <row r="64">
      <c r="A64" t="inlineStr">
        <is>
          <t>On Holding</t>
        </is>
      </c>
      <c r="B64" t="inlineStr">
        <is>
          <t>Diluted weighted-average class A shares, Q2 2026 (m)</t>
        </is>
      </c>
      <c r="C64" t="n">
        <v>302.099852</v>
      </c>
      <c r="D64" t="inlineStr">
        <is>
          <t>shares</t>
        </is>
      </c>
      <c r="E64" t="inlineStr">
        <is>
          <t>2026-04-01..2026-06-30</t>
        </is>
      </c>
      <c r="F64" t="inlineStr">
        <is>
          <t>ifrs-full:AdjustedWeightedAverageShares, class A (6-K 0001858985-26-000018 filed 2026-08-11)</t>
        </is>
      </c>
    </row>
    <row r="65">
      <c r="A65" t="inlineStr">
        <is>
          <t>On Holding</t>
        </is>
      </c>
      <c r="B65" t="inlineStr">
        <is>
          <t>Diluted weighted-average class B shares, Q2 2026 (m)</t>
        </is>
      </c>
      <c r="C65" t="n">
        <v>337.842515</v>
      </c>
      <c r="D65" t="inlineStr">
        <is>
          <t>shares</t>
        </is>
      </c>
      <c r="E65" t="inlineStr">
        <is>
          <t>2026-04-01..2026-06-30</t>
        </is>
      </c>
      <c r="F65" t="inlineStr">
        <is>
          <t>same, class B voting shares; each = 1/10 of a class A share economically</t>
        </is>
      </c>
    </row>
    <row r="66">
      <c r="A66" t="inlineStr">
        <is>
          <t>On Holding</t>
        </is>
      </c>
      <c r="B66" t="inlineStr">
        <is>
          <t>Diluted shares, class A equivalents (m)</t>
        </is>
      </c>
      <c r="C66" t="n">
        <v>335.8841035</v>
      </c>
      <c r="D66" t="inlineStr">
        <is>
          <t>shares</t>
        </is>
      </c>
      <c r="E66" t="inlineStr">
        <is>
          <t>2026-06-30</t>
        </is>
      </c>
      <c r="F66" t="inlineStr">
        <is>
          <t>class A + class B / 10</t>
        </is>
      </c>
    </row>
    <row r="67">
      <c r="A67" t="inlineStr">
        <is>
          <t>On Holding</t>
        </is>
      </c>
      <c r="B67" t="inlineStr">
        <is>
          <t>Lease liabilities (check only)</t>
        </is>
      </c>
      <c r="C67" t="n">
        <v>562.5</v>
      </c>
      <c r="D67" t="inlineStr">
        <is>
          <t>CHF</t>
        </is>
      </c>
      <c r="E67" t="inlineStr">
        <is>
          <t>2026-06-30</t>
        </is>
      </c>
      <c r="F67" t="inlineStr">
        <is>
          <t>CurrentLeaseLiabilities = 87.9m (6-K 0001858985-26-000018 filed 2026-08-11); NoncurrentLeaseLiabilities = 474.6m (6-K 0001858985-26-000018 filed 2026-08-11)</t>
        </is>
      </c>
    </row>
    <row r="68">
      <c r="A68" t="inlineStr">
        <is>
          <t>On Holding</t>
        </is>
      </c>
      <c r="B68" t="inlineStr">
        <is>
          <t>Non-controlling interests</t>
        </is>
      </c>
      <c r="C68" t="n">
        <v>0</v>
      </c>
      <c r="D68" t="inlineStr">
        <is>
          <t>CHF</t>
        </is>
      </c>
      <c r="E68" t="inlineStr">
        <is>
          <t>2026-06-30</t>
        </is>
      </c>
      <c r="F68" t="inlineStr">
        <is>
          <t>none reported in the 6-K H1 2026 balance sheet</t>
        </is>
      </c>
    </row>
    <row r="69">
      <c r="A69" t="inlineStr">
        <is>
          <t>adidas</t>
        </is>
      </c>
      <c r="B69" t="inlineStr">
        <is>
          <t>Net sales FY2025</t>
        </is>
      </c>
      <c r="C69" t="n">
        <v>24811</v>
      </c>
      <c r="D69" t="inlineStr">
        <is>
          <t>EUR</t>
        </is>
      </c>
      <c r="E69" t="inlineStr">
        <is>
          <t>2025-01-01..2025-12-31</t>
        </is>
      </c>
      <c r="F69" t="inlineStr">
        <is>
          <t>NON-SEC: adidas Annual Report 2025, https://report.adidas-group.com/2025/en/consolidated-financial-statements/consolidated-income-statement.html, row 'Net sales' (saved as data/raw/competitors/adidas_AR2025_consolidated_income_statement_2026-10-04.html)</t>
        </is>
      </c>
    </row>
    <row r="70">
      <c r="A70" t="inlineStr">
        <is>
          <t>adidas</t>
        </is>
      </c>
      <c r="B70" t="inlineStr">
        <is>
          <t>Net sales H1 2026</t>
        </is>
      </c>
      <c r="C70" t="n">
        <v>13335</v>
      </c>
      <c r="D70" t="inlineStr">
        <is>
          <t>EUR</t>
        </is>
      </c>
      <c r="E70" t="inlineStr">
        <is>
          <t>2026-01-01..2026-06-30</t>
        </is>
      </c>
      <c r="F70" t="inlineStr">
        <is>
          <t>NON-SEC: adidas Half Year Report 2026, 'Condensed Consolidated Income Statement (IFRS)', row 'Net sales'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71">
      <c r="A71" t="inlineStr">
        <is>
          <t>adidas</t>
        </is>
      </c>
      <c r="B71" t="inlineStr">
        <is>
          <t>Net sales H1 2025</t>
        </is>
      </c>
      <c r="C71" t="n">
        <v>12105</v>
      </c>
      <c r="D71" t="inlineStr">
        <is>
          <t>EUR</t>
        </is>
      </c>
      <c r="E71" t="inlineStr">
        <is>
          <t>2025-01-01..2025-06-30</t>
        </is>
      </c>
      <c r="F71" t="inlineStr">
        <is>
          <t>NON-SEC: adidas Half Year Report 2026, 'Condensed Consolidated Income Statement (IFRS)', row 'Net sales'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72">
      <c r="A72" t="inlineStr">
        <is>
          <t>adidas</t>
        </is>
      </c>
      <c r="B72" t="inlineStr">
        <is>
          <t>Net sales FY2024</t>
        </is>
      </c>
      <c r="C72" t="n">
        <v>23683</v>
      </c>
      <c r="D72" t="inlineStr">
        <is>
          <t>EUR</t>
        </is>
      </c>
      <c r="E72" t="inlineStr">
        <is>
          <t>2024-01-01..2024-12-31</t>
        </is>
      </c>
      <c r="F72" t="inlineStr">
        <is>
          <t>NON-SEC: adidas Annual Report 2025, https://report.adidas-group.com/2025/en/consolidated-financial-statements/consolidated-income-statement.html, row 'Net sales' (saved as data/raw/competitors/adidas_AR2025_consolidated_income_statement_2026-10-04.html)</t>
        </is>
      </c>
    </row>
    <row r="73">
      <c r="A73" t="inlineStr">
        <is>
          <t>adidas</t>
        </is>
      </c>
      <c r="B73" t="inlineStr">
        <is>
          <t>Net sales H1 2024</t>
        </is>
      </c>
      <c r="C73" t="n">
        <v>11280</v>
      </c>
      <c r="D73" t="inlineStr">
        <is>
          <t>EUR</t>
        </is>
      </c>
      <c r="E73" t="inlineStr">
        <is>
          <t>2024-01-01..2024-06-30</t>
        </is>
      </c>
      <c r="F73" t="inlineStr">
        <is>
          <t>NON-SEC: adidas Half Year Report 2025, 'Condensed Consolidated Income Statement (IFRS)', row 'Net sales' (https://res.cloudinary.com/confirmed-web/image/upload/v1753852841/adidas-group/investors/financial-publications/2025/Q2/H1_2025_Report_EN_Final_xvs0k3.pdf; saved as data/raw/competitors/adidas_H1_Report_2025_EN_2026-10-04.pdf)</t>
        </is>
      </c>
    </row>
    <row r="74">
      <c r="A74" t="inlineStr">
        <is>
          <t>adidas</t>
        </is>
      </c>
      <c r="B74" t="inlineStr">
        <is>
          <t>Operating profit FY2025</t>
        </is>
      </c>
      <c r="C74" t="n">
        <v>2056</v>
      </c>
      <c r="D74" t="inlineStr">
        <is>
          <t>EUR</t>
        </is>
      </c>
      <c r="E74" t="inlineStr">
        <is>
          <t>2025-01-01..2025-12-31</t>
        </is>
      </c>
      <c r="F74" t="inlineStr">
        <is>
          <t>NON-SEC: adidas Annual Report 2025, https://report.adidas-group.com/2025/en/consolidated-financial-statements/consolidated-income-statement.html, row 'Operating profit' (saved as data/raw/competitors/adidas_AR2025_consolidated_income_statement_2026-10-04.html)</t>
        </is>
      </c>
    </row>
    <row r="75">
      <c r="A75" t="inlineStr">
        <is>
          <t>adidas</t>
        </is>
      </c>
      <c r="B75" t="inlineStr">
        <is>
          <t>Operating profit H1 2026</t>
        </is>
      </c>
      <c r="C75" t="n">
        <v>1279</v>
      </c>
      <c r="D75" t="inlineStr">
        <is>
          <t>EUR</t>
        </is>
      </c>
      <c r="E75" t="inlineStr">
        <is>
          <t>2026-01-01..2026-06-30</t>
        </is>
      </c>
      <c r="F75" t="inlineStr">
        <is>
          <t>NON-SEC: adidas Half Year Report 2026, 'Condensed Consolidated Income Statement (IFRS)', row 'Operating profit' (https://res.cloudinary.com/confirmed-web/image/upload/v1785388904/adidas-group/investors/financial-publications/2026/Q2/EN/H1_Report_2026_en_emhpcd.pdf; saved as data/raw/competitors/adidas_H1_Report_2026_EN_2026-10-04.pdf)</t>
        </is>
      </c>
    </row>
    <row r="76">
      <c r="A76" t="inlineStr">
        <is>
          <t>adidas</t>
        </is>
      </c>
      <c r="B76" t="inlineStr">
        <is>
          <t>Operating profit H1 2025</t>
        </is>
      </c>
      <c r="C76" t="n">
        <v>1156</v>
      </c>
      <c r="D76" t="inlineStr">
        <is>
          <t>EUR</t>
        </is>
      </c>
      <c r="E76" t="inlineStr">
        <is>
          <t>2025-01-01..2025-06-30</t>
        </is>
      </c>
      <c r="F76" t="inlineStr">
        <is>
          <t>NON-SEC: adidas Half Year Report 2026, 'Condensed Consolidated Income Statement (IFRS)', row 'Operating profit' (https://res.cloudinary.com/confirmed-web/image/upload/v1785388904/adidas-group/investors/financial-publications/2026/Q2/EN/H1_Report_2026_en_emhpcd.pdf; saved as data/raw/competitors/adidas_H1_Report_2026_EN_2026-10-04.pdf)</t>
        </is>
      </c>
    </row>
    <row r="77">
      <c r="A77" t="inlineStr">
        <is>
          <t>adidas</t>
        </is>
      </c>
      <c r="B77" t="inlineStr">
        <is>
          <t>Depreciation, amortization, and impairment FY2025</t>
        </is>
      </c>
      <c r="C77" t="n">
        <v>1154</v>
      </c>
      <c r="D77" t="inlineStr">
        <is>
          <t>EUR</t>
        </is>
      </c>
      <c r="E77" t="inlineStr">
        <is>
          <t>2025-01-01..2025-12-31</t>
        </is>
      </c>
      <c r="F77" t="inlineStr">
        <is>
          <t>NON-SEC: adidas Annual Report 2025, https://report.adidas-group.com/2025/en/consolidated-financial-statements/consolidated-statement-of-cash-flows.html, row 'Depreciation, amortization, and impairment' (saved as data/raw/competitors/adidas_AR2025_consolidated_statement_of_cash_flows_2026-10-04.html)</t>
        </is>
      </c>
    </row>
    <row r="78">
      <c r="A78" t="inlineStr">
        <is>
          <t>adidas</t>
        </is>
      </c>
      <c r="B78" t="inlineStr">
        <is>
          <t>Depreciation, amortization, and impairment losses H1 2026</t>
        </is>
      </c>
      <c r="C78" t="n">
        <v>568</v>
      </c>
      <c r="D78" t="inlineStr">
        <is>
          <t>EUR</t>
        </is>
      </c>
      <c r="E78" t="inlineStr">
        <is>
          <t>2026-01-01..2026-06-30</t>
        </is>
      </c>
      <c r="F78" t="inlineStr">
        <is>
          <t>NON-SEC: adidas Half Year Report 2026, 'Consolidated Statement of Cash Flows (IFRS)', row 'Depreciation, amortization, and impairment losses'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79">
      <c r="A79" t="inlineStr">
        <is>
          <t>adidas</t>
        </is>
      </c>
      <c r="B79" t="inlineStr">
        <is>
          <t>Depreciation, amortization, and impairment losses H1 2025</t>
        </is>
      </c>
      <c r="C79" t="n">
        <v>560</v>
      </c>
      <c r="D79" t="inlineStr">
        <is>
          <t>EUR</t>
        </is>
      </c>
      <c r="E79" t="inlineStr">
        <is>
          <t>2025-01-01..2025-06-30</t>
        </is>
      </c>
      <c r="F79" t="inlineStr">
        <is>
          <t>NON-SEC: adidas Half Year Report 2026, 'Consolidated Statement of Cash Flows (IFRS)', row 'Depreciation, amortization, and impairment losses'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80">
      <c r="A80" t="inlineStr">
        <is>
          <t>adidas</t>
        </is>
      </c>
      <c r="B80" t="inlineStr">
        <is>
          <t>Net income attributable to shareholders, continuing operations FY2025</t>
        </is>
      </c>
      <c r="C80" t="n">
        <v>1332</v>
      </c>
      <c r="D80" t="inlineStr">
        <is>
          <t>EUR</t>
        </is>
      </c>
      <c r="E80" t="inlineStr">
        <is>
          <t>2025-01-01..2025-12-31</t>
        </is>
      </c>
      <c r="F80" t="inlineStr">
        <is>
          <t>NON-SEC: adidas Annual Report 2025, https://report.adidas-group.com/2025/en/consolidated-financial-statements/notes/notes-to-the-consolidated-income-statement/earnings-per-share.html, row 'Net income attributable to shareholders' (saved as data/raw/competitors/adidas_AR2025_note_earnings_per_share_2026-10-04.html)</t>
        </is>
      </c>
    </row>
    <row r="81">
      <c r="A81" t="inlineStr">
        <is>
          <t>adidas</t>
        </is>
      </c>
      <c r="B81" t="inlineStr">
        <is>
          <t>Net income attributable to shareholders, continuing operations H1 2026</t>
        </is>
      </c>
      <c r="C81" t="n">
        <v>848</v>
      </c>
      <c r="D81" t="inlineStr">
        <is>
          <t>EUR</t>
        </is>
      </c>
      <c r="E81" t="inlineStr">
        <is>
          <t>2026-01-01..2026-06-30</t>
        </is>
      </c>
      <c r="F81" t="inlineStr">
        <is>
          <t>NON-SEC: adidas Half Year Report 2026, 'Earnings per share', row 'Net income/(loss) attributable to' (https://res.cloudinary.com/confirmed-web/image/upload/v1785388904/adidas-group/investors/financial-publications/2026/Q2/EN/H1_Report_2026_en_emhpcd.pdf; saved as data/raw/competitors/adidas_H1_Report_2026_EN_2026-10-04.pdf)</t>
        </is>
      </c>
    </row>
    <row r="82">
      <c r="A82" t="inlineStr">
        <is>
          <t>adidas</t>
        </is>
      </c>
      <c r="B82" t="inlineStr">
        <is>
          <t>Net income attributable to shareholders, continuing operations H1 2025</t>
        </is>
      </c>
      <c r="C82" t="n">
        <v>799</v>
      </c>
      <c r="D82" t="inlineStr">
        <is>
          <t>EUR</t>
        </is>
      </c>
      <c r="E82" t="inlineStr">
        <is>
          <t>2025-01-01..2025-06-30</t>
        </is>
      </c>
      <c r="F82" t="inlineStr">
        <is>
          <t>NON-SEC: adidas Half Year Report 2026, 'Earnings per share', row 'Net income/(loss) attributable to' (https://res.cloudinary.com/confirmed-web/image/upload/v1785388904/adidas-group/investors/financial-publications/2026/Q2/EN/H1_Report_2026_en_emhpcd.pdf; saved as data/raw/competitors/adidas_H1_Report_2026_EN_2026-10-04.pdf)</t>
        </is>
      </c>
    </row>
    <row r="83">
      <c r="A83" t="inlineStr">
        <is>
          <t>adidas</t>
        </is>
      </c>
      <c r="B83" t="inlineStr">
        <is>
          <t>Right-of-use (lease) depreciation FY2025 (stands in for TTM)</t>
        </is>
      </c>
      <c r="C83" t="n">
        <v>639</v>
      </c>
      <c r="D83" t="inlineStr">
        <is>
          <t>EUR</t>
        </is>
      </c>
      <c r="E83" t="inlineStr">
        <is>
          <t>2025</t>
        </is>
      </c>
      <c r="F83" t="inlineStr">
        <is>
          <t>NON-SEC: Annual Report 2025, note 'Right-of-use assets', total column (saved as data/raw/competitors/adidas_AR2025_note_right_of_use_assets_2026-10-04.html)</t>
        </is>
      </c>
    </row>
    <row r="84">
      <c r="A84" t="inlineStr">
        <is>
          <t>adidas</t>
        </is>
      </c>
      <c r="B84" t="inlineStr">
        <is>
          <t>Interest expense on lease liabilities FY2025 (stands in for TTM)</t>
        </is>
      </c>
      <c r="C84" t="n">
        <v>109</v>
      </c>
      <c r="D84" t="inlineStr">
        <is>
          <t>EUR</t>
        </is>
      </c>
      <c r="E84" t="inlineStr">
        <is>
          <t>2025-01-01..2025-12-31</t>
        </is>
      </c>
      <c r="F84" t="inlineStr">
        <is>
          <t>NON-SEC: adidas Annual Report 2025, https://report.adidas-group.com/2025/en/consolidated-financial-statements/notes/notes-to-the-consolidated-income-statement/financial-income-financial-expenses.html, row 'Thereof: interest expense on lease liabilities' (saved as data/raw/competitors/adidas_AR2025_note_financial_income_financial_expenses_2026-10-04.html)</t>
        </is>
      </c>
    </row>
    <row r="85">
      <c r="A85" t="inlineStr">
        <is>
          <t>adidas</t>
        </is>
      </c>
      <c r="B85" t="inlineStr">
        <is>
          <t>Shares outstanding 2026-06-30 (m)</t>
        </is>
      </c>
      <c r="C85" t="n">
        <v>175.062879</v>
      </c>
      <c r="D85" t="inlineStr">
        <is>
          <t>shares</t>
        </is>
      </c>
      <c r="E85" t="inlineStr">
        <is>
          <t>2026-06-30</t>
        </is>
      </c>
      <c r="F85" t="inlineStr">
        <is>
          <t>NON-SEC: Half Year Report 2026, key figures, 'Number of shares outstanding' (data/raw/competitors/adidas_H1_Report_2026_EN_2026-10-04.pdf)</t>
        </is>
      </c>
    </row>
    <row r="86">
      <c r="A86" t="inlineStr">
        <is>
          <t>adidas</t>
        </is>
      </c>
      <c r="B86" t="inlineStr">
        <is>
          <t>Dilutive effect of share-based payments H1 2026 (m)</t>
        </is>
      </c>
      <c r="C86" t="n">
        <v>0.007759</v>
      </c>
      <c r="D86" t="inlineStr">
        <is>
          <t>shares</t>
        </is>
      </c>
      <c r="E86" t="inlineStr">
        <is>
          <t>2026-01-01..2026-06-30</t>
        </is>
      </c>
      <c r="F86" t="inlineStr">
        <is>
          <t>NON-SEC: Half Year Report 2026, note 05 'Earnings per share'</t>
        </is>
      </c>
    </row>
    <row r="87">
      <c r="A87" t="inlineStr">
        <is>
          <t>adidas</t>
        </is>
      </c>
      <c r="B87" t="inlineStr">
        <is>
          <t>Cash and cash equivalents 2026-06-30</t>
        </is>
      </c>
      <c r="C87" t="n">
        <v>1159</v>
      </c>
      <c r="D87" t="inlineStr">
        <is>
          <t>EUR</t>
        </is>
      </c>
      <c r="E87" t="inlineStr">
        <is>
          <t>2026-06-30</t>
        </is>
      </c>
      <c r="F87" t="inlineStr">
        <is>
          <t>NON-SEC: adidas Half Year Report 2026, 'Consolidated Statement of Financial Position (IFRS)', row 'Cash and cash equivalents'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88">
      <c r="A88" t="inlineStr">
        <is>
          <t>adidas</t>
        </is>
      </c>
      <c r="B88" t="inlineStr">
        <is>
          <t>Short-term borrowings 2026-06-30</t>
        </is>
      </c>
      <c r="C88" t="n">
        <v>560</v>
      </c>
      <c r="D88" t="inlineStr">
        <is>
          <t>EUR</t>
        </is>
      </c>
      <c r="E88" t="inlineStr">
        <is>
          <t>2026-06-30</t>
        </is>
      </c>
      <c r="F88" t="inlineStr">
        <is>
          <t>NON-SEC: adidas Half Year Report 2026, 'Consolidated Statement of Financial Position (IFRS)', row 'Short-term borrowings'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89">
      <c r="A89" t="inlineStr">
        <is>
          <t>adidas</t>
        </is>
      </c>
      <c r="B89" t="inlineStr">
        <is>
          <t>Long-term borrowings 2026-06-30</t>
        </is>
      </c>
      <c r="C89" t="n">
        <v>2489</v>
      </c>
      <c r="D89" t="inlineStr">
        <is>
          <t>EUR</t>
        </is>
      </c>
      <c r="E89" t="inlineStr">
        <is>
          <t>2026-06-30</t>
        </is>
      </c>
      <c r="F89" t="inlineStr">
        <is>
          <t>NON-SEC: adidas Half Year Report 2026, 'Consolidated Statement of Financial Position (IFRS)', row 'Long-term borrowings'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90">
      <c r="A90" t="inlineStr">
        <is>
          <t>adidas</t>
        </is>
      </c>
      <c r="B90" t="inlineStr">
        <is>
          <t>Non-controlling interests (book value) 2026-06-30</t>
        </is>
      </c>
      <c r="C90" t="n">
        <v>395</v>
      </c>
      <c r="D90" t="inlineStr">
        <is>
          <t>EUR</t>
        </is>
      </c>
      <c r="E90" t="inlineStr">
        <is>
          <t>2026-06-30</t>
        </is>
      </c>
      <c r="F90" t="inlineStr">
        <is>
          <t>NON-SEC: adidas Half Year Report 2026, 'Consolidated Statement of Financial Position (IFRS)', row 'Non-controlling interests'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91">
      <c r="A91" t="inlineStr">
        <is>
          <t>adidas</t>
        </is>
      </c>
      <c r="B91" t="inlineStr">
        <is>
          <t>Current lease liabilities 2026-06-30 (check only)</t>
        </is>
      </c>
      <c r="C91" t="n">
        <v>618</v>
      </c>
      <c r="D91" t="inlineStr">
        <is>
          <t>EUR</t>
        </is>
      </c>
      <c r="E91" t="inlineStr">
        <is>
          <t>2026-06-30</t>
        </is>
      </c>
      <c r="F91" t="inlineStr">
        <is>
          <t>NON-SEC: adidas Half Year Report 2026, 'Consolidated Statement of Financial Position (IFRS)', row 'Current lease liabilities'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92">
      <c r="A92" t="inlineStr">
        <is>
          <t>adidas</t>
        </is>
      </c>
      <c r="B92" t="inlineStr">
        <is>
          <t>Non-current lease liabilities 2026-06-30 (check only)</t>
        </is>
      </c>
      <c r="C92" t="n">
        <v>2311</v>
      </c>
      <c r="D92" t="inlineStr">
        <is>
          <t>EUR</t>
        </is>
      </c>
      <c r="E92" t="inlineStr">
        <is>
          <t>2026-06-30</t>
        </is>
      </c>
      <c r="F92" t="inlineStr">
        <is>
          <t>NON-SEC: adidas Half Year Report 2026, 'Consolidated Statement of Financial Position (IFRS)', row 'Non-current lease liabilities'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93">
      <c r="A93" t="inlineStr">
        <is>
          <t>adidas</t>
        </is>
      </c>
      <c r="B93" t="inlineStr">
        <is>
          <t>Pensions and similar obligations 2026-06-30 (not added; noted only)</t>
        </is>
      </c>
      <c r="C93" t="n">
        <v>84</v>
      </c>
      <c r="D93" t="inlineStr">
        <is>
          <t>EUR</t>
        </is>
      </c>
      <c r="E93" t="inlineStr">
        <is>
          <t>2026-06-30</t>
        </is>
      </c>
      <c r="F93" t="inlineStr">
        <is>
          <t>NON-SEC: adidas Half Year Report 2026, 'Consolidated Statement of Financial Position (IFRS)', row 'Pensions and similar obligations' (https://res.cloudinary.com/confirmed-web/image/upload/v1785388904/adidas-group/investors/financial-publications/2026/Q2/EN/H1_Report_2026_en_emhpcd.pdf; saved as data/raw/competitors/adidas_H1_Report_2026_EN_2026-10-04.pdf)</t>
        </is>
      </c>
    </row>
    <row r="94">
      <c r="A94" t="inlineStr">
        <is>
          <t>adidas</t>
        </is>
      </c>
      <c r="B94" t="inlineStr">
        <is>
          <t>Net sales 2022 (start of CAGR window)</t>
        </is>
      </c>
      <c r="C94" t="n">
        <v>22511</v>
      </c>
      <c r="D94" t="inlineStr">
        <is>
          <t>EUR</t>
        </is>
      </c>
      <c r="E94" t="inlineStr">
        <is>
          <t>2022</t>
        </is>
      </c>
      <c r="F94" t="inlineStr">
        <is>
          <t>output/06b_competitors_by_year.csv &lt;- adidas ten-year overview (NON-SEC), continuing operations excl. Reebok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00" customWidth="1" min="7" max="7"/>
  </cols>
  <sheetData>
    <row r="1">
      <c r="A1" s="8" t="inlineStr">
        <is>
          <t>company</t>
        </is>
      </c>
      <c r="B1" s="8" t="inlineStr">
        <is>
          <t>factor</t>
        </is>
      </c>
      <c r="C1" s="8" t="inlineStr">
        <is>
          <t>metric</t>
        </is>
      </c>
      <c r="D1" s="8" t="inlineStr">
        <is>
          <t>base_case</t>
        </is>
      </c>
      <c r="E1" s="8" t="inlineStr">
        <is>
          <t>with_factor</t>
        </is>
      </c>
      <c r="F1" s="8" t="inlineStr">
        <is>
          <t>change_pct</t>
        </is>
      </c>
      <c r="G1" s="8" t="inlineStr">
        <is>
          <t>how_calculated</t>
        </is>
      </c>
    </row>
    <row r="2">
      <c r="A2" t="inlineStr">
        <is>
          <t>Nike</t>
        </is>
      </c>
      <c r="B2" t="inlineStr">
        <is>
          <t>Leases treated as debt</t>
        </is>
      </c>
      <c r="C2" t="inlineStr">
        <is>
          <t>EV / EBITDA (x)</t>
        </is>
      </c>
      <c r="D2" s="10" t="n">
        <v>11.04588598047915</v>
      </c>
      <c r="E2" s="10" t="n">
        <v>10.18532089982696</v>
      </c>
      <c r="F2" s="10" t="n">
        <v>-7.790819877853405</v>
      </c>
      <c r="G2" t="inlineStr">
        <is>
          <t>(EV 49,795 + lease liabilities 3,179) / (EBITDA 4,508 + fixed lease cost 693)</t>
        </is>
      </c>
    </row>
    <row r="3">
      <c r="A3" t="inlineStr">
        <is>
          <t>adidas</t>
        </is>
      </c>
      <c r="B3" t="inlineStr">
        <is>
          <t>Leases treated as debt</t>
        </is>
      </c>
      <c r="C3" t="inlineStr">
        <is>
          <t>EV / EBITDA (x)</t>
        </is>
      </c>
      <c r="D3" s="10" t="n">
        <v>10.60699012876976</v>
      </c>
      <c r="E3" s="10" t="n">
        <v>9.10892708886561</v>
      </c>
      <c r="F3" s="10" t="n">
        <v>-14.12335659520318</v>
      </c>
      <c r="G3" t="inlineStr">
        <is>
          <t>(EV 27,504 + lease liabilities 2,929) / (EBITDA 2,593 + fixed lease cost 748)</t>
        </is>
      </c>
    </row>
    <row r="4">
      <c r="A4" t="inlineStr">
        <is>
          <t>Lululemon</t>
        </is>
      </c>
      <c r="B4" t="inlineStr">
        <is>
          <t>Leases treated as debt</t>
        </is>
      </c>
      <c r="C4" t="inlineStr">
        <is>
          <t>EV / EBITDA (x)</t>
        </is>
      </c>
      <c r="D4" s="10" t="n">
        <v>3.683487916659056</v>
      </c>
      <c r="E4" s="10" t="n">
        <v>3.904277111338241</v>
      </c>
      <c r="F4" s="10" t="n">
        <v>5.994025219429577</v>
      </c>
      <c r="G4" t="inlineStr">
        <is>
          <t>(EV 9,277 + lease liabilities 2,141) / (EBITDA 2,518 + fixed lease cost 406)</t>
        </is>
      </c>
    </row>
    <row r="5">
      <c r="A5" t="inlineStr">
        <is>
          <t>Deckers</t>
        </is>
      </c>
      <c r="B5" t="inlineStr">
        <is>
          <t>Leases treated as debt</t>
        </is>
      </c>
      <c r="C5" t="inlineStr">
        <is>
          <t>EV / EBITDA (x)</t>
        </is>
      </c>
      <c r="D5" s="10" t="n">
        <v>7.053765794334351</v>
      </c>
      <c r="E5" s="10" t="n">
        <v>6.944369715375381</v>
      </c>
      <c r="F5" s="10" t="n">
        <v>-1.550889016570944</v>
      </c>
      <c r="G5" t="inlineStr">
        <is>
          <t>(EV 9,360 + lease liabilities 472) / (EBITDA 1,327 + fixed lease cost 89)</t>
        </is>
      </c>
    </row>
    <row r="6">
      <c r="A6" t="inlineStr">
        <is>
          <t>On Holding</t>
        </is>
      </c>
      <c r="B6" t="inlineStr">
        <is>
          <t>Leases treated as debt</t>
        </is>
      </c>
      <c r="C6" t="inlineStr">
        <is>
          <t>EV / EBITDA (x)</t>
        </is>
      </c>
      <c r="D6" s="10" t="n">
        <v>15.7112907985032</v>
      </c>
      <c r="E6" s="10" t="n">
        <v>13.66017836008751</v>
      </c>
      <c r="F6" s="10" t="n">
        <v>-13.05502179751584</v>
      </c>
      <c r="G6" t="inlineStr">
        <is>
          <t>(EV 8,910 + lease liabilities 677) / (EBITDA 567 + fixed lease cost 135)</t>
        </is>
      </c>
    </row>
    <row r="7">
      <c r="A7" t="inlineStr">
        <is>
          <t>Under Armour</t>
        </is>
      </c>
      <c r="B7" t="inlineStr">
        <is>
          <t>Leases treated as debt</t>
        </is>
      </c>
      <c r="C7" t="inlineStr">
        <is>
          <t>EV / EBITDA (x)</t>
        </is>
      </c>
      <c r="D7" s="10" t="n"/>
      <c r="E7" s="10" t="n">
        <v>21.75417306526571</v>
      </c>
      <c r="F7" s="10" t="n"/>
      <c r="G7" t="inlineStr">
        <is>
          <t>(EV 2,230 + lease liabilities 785) / (EBITDA -14 + fixed lease cost 152)</t>
        </is>
      </c>
    </row>
    <row r="8">
      <c r="A8" t="inlineStr">
        <is>
          <t>adidas</t>
        </is>
      </c>
      <c r="B8" t="inlineStr">
        <is>
          <t>No IFRS lease fix (raw IFRS EBITDA)</t>
        </is>
      </c>
      <c r="C8" t="inlineStr">
        <is>
          <t>EV / EBITDA (x)</t>
        </is>
      </c>
      <c r="D8" s="10" t="n">
        <v>10.60699012876976</v>
      </c>
      <c r="E8" s="10" t="n">
        <v>8.232243461209219</v>
      </c>
      <c r="F8" s="10" t="n">
        <v>-22.38850643519904</v>
      </c>
      <c r="G8" t="inlineStr">
        <is>
          <t>EV / (operating profit + all D&amp;A); rent is then not counted as a cost</t>
        </is>
      </c>
    </row>
    <row r="9">
      <c r="A9" t="inlineStr">
        <is>
          <t>adidas</t>
        </is>
      </c>
      <c r="B9" t="inlineStr">
        <is>
          <t>Non-controlling interests left out of EV</t>
        </is>
      </c>
      <c r="C9" t="inlineStr">
        <is>
          <t>EV / EBITDA (x)</t>
        </is>
      </c>
      <c r="D9" s="10" t="n">
        <v>10.60699012876976</v>
      </c>
      <c r="E9" s="10" t="n">
        <v>10.45465692398766</v>
      </c>
      <c r="F9" s="10" t="n">
        <v>-1.436158636265017</v>
      </c>
      <c r="G9" t="inlineStr">
        <is>
          <t>EV without EUR 395m minority stakes (the first version of this table)</t>
        </is>
      </c>
    </row>
    <row r="10">
      <c r="A10" t="inlineStr">
        <is>
          <t>On Holding</t>
        </is>
      </c>
      <c r="B10" t="inlineStr">
        <is>
          <t>CHF profits at the average 12-month rate</t>
        </is>
      </c>
      <c r="C10" t="inlineStr">
        <is>
          <t>EV / EBITDA (x)</t>
        </is>
      </c>
      <c r="D10" s="10" t="n">
        <v>15.7112907985032</v>
      </c>
      <c r="E10" s="10" t="n">
        <v>15.00473132176214</v>
      </c>
      <c r="F10" s="10" t="n">
        <v>-4.497144670050779</v>
      </c>
      <c r="G10" t="inlineStr">
        <is>
          <t>EBITDA x 1.0471 (average 1.2608 / spot 1.2041)</t>
        </is>
      </c>
    </row>
    <row r="11">
      <c r="A11" t="inlineStr">
        <is>
          <t>On Holding</t>
        </is>
      </c>
      <c r="B11" t="inlineStr">
        <is>
          <t>CHF profits at the average 12-month rate</t>
        </is>
      </c>
      <c r="C11" t="inlineStr">
        <is>
          <t>P / E (x)</t>
        </is>
      </c>
      <c r="D11" s="10" t="n">
        <v>21.72038860700406</v>
      </c>
      <c r="E11" s="10" t="n">
        <v>20.74359130844986</v>
      </c>
      <c r="F11" s="10" t="n">
        <v>-4.497144670050779</v>
      </c>
      <c r="G11" t="inlineStr">
        <is>
          <t>net income x the same ratio</t>
        </is>
      </c>
    </row>
    <row r="12">
      <c r="A12" t="inlineStr">
        <is>
          <t>Under Armour</t>
        </is>
      </c>
      <c r="B12" t="inlineStr">
        <is>
          <t>Restructuring and impairment charges added back</t>
        </is>
      </c>
      <c r="C12" t="inlineStr">
        <is>
          <t>EV / EBITDA (x)</t>
        </is>
      </c>
      <c r="D12" s="10" t="n"/>
      <c r="E12" s="10" t="n">
        <v>21.1812343368515</v>
      </c>
      <c r="F12" s="10" t="n"/>
      <c r="G12" t="inlineStr">
        <is>
          <t>EBITDA -14 + charges 119 = 105</t>
        </is>
      </c>
    </row>
    <row r="13">
      <c r="A13" t="inlineStr">
        <is>
          <t>Under Armour</t>
        </is>
      </c>
      <c r="B13" t="inlineStr">
        <is>
          <t>Restructuring and impairment charges added back</t>
        </is>
      </c>
      <c r="C13" t="inlineStr">
        <is>
          <t>Operating margin (%)</t>
        </is>
      </c>
      <c r="D13" s="10" t="n">
        <v>-2.427797978552315</v>
      </c>
      <c r="E13" s="10" t="n">
        <v>-0.01616557770440272</v>
      </c>
      <c r="F13" s="10" t="n">
        <v>-99.33414650447801</v>
      </c>
      <c r="G13" t="inlineStr">
        <is>
          <t>same add-back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00" customWidth="1" min="7" max="7"/>
  </cols>
  <sheetData>
    <row r="1">
      <c r="A1" s="8" t="inlineStr">
        <is>
          <t>method</t>
        </is>
      </c>
      <c r="B1" s="8" t="inlineStr">
        <is>
          <t>multiple_x</t>
        </is>
      </c>
      <c r="C1" s="8" t="inlineStr">
        <is>
          <t>nike_profit_usd_m</t>
        </is>
      </c>
      <c r="D1" s="8" t="inlineStr">
        <is>
          <t>equity_value_usd_m</t>
        </is>
      </c>
      <c r="E1" s="8" t="inlineStr">
        <is>
          <t>value_per_share_usd</t>
        </is>
      </c>
      <c r="F1" s="8" t="inlineStr">
        <is>
          <t>vs_price_pct</t>
        </is>
      </c>
      <c r="G1" s="8" t="inlineStr">
        <is>
          <t>how_calculated</t>
        </is>
      </c>
    </row>
    <row r="2">
      <c r="A2" t="inlineStr">
        <is>
          <t>Peer median EV/EBITDA</t>
        </is>
      </c>
      <c r="B2" s="10" t="n">
        <v>8.830377961552058</v>
      </c>
      <c r="C2" s="10" t="n">
        <v>4508</v>
      </c>
      <c r="D2" s="10" t="n">
        <v>40282.34385067668</v>
      </c>
      <c r="E2" s="10" t="n">
        <v>27.14077877016351</v>
      </c>
      <c r="F2" s="10" t="n">
        <v>-19.86779223453349</v>
      </c>
      <c r="G2" t="inlineStr">
        <is>
          <t>multiple x Nike TTM EBITDA - debt + cash, / diluted shares</t>
        </is>
      </c>
    </row>
    <row r="3">
      <c r="A3" t="inlineStr">
        <is>
          <t>Peer min EV/EBITDA</t>
        </is>
      </c>
      <c r="B3" s="10" t="n">
        <v>3.683487916659056</v>
      </c>
      <c r="C3" s="10" t="n">
        <v>4508</v>
      </c>
      <c r="D3" s="10" t="n">
        <v>17080.16352829902</v>
      </c>
      <c r="E3" s="10" t="n">
        <v>11.50799321405405</v>
      </c>
      <c r="F3" s="10" t="n">
        <v>-66.02304926467654</v>
      </c>
      <c r="G3" t="inlineStr">
        <is>
          <t>multiple x Nike TTM EBITDA - debt + cash, / diluted shares</t>
        </is>
      </c>
    </row>
    <row r="4">
      <c r="A4" t="inlineStr">
        <is>
          <t>Peer max EV/EBITDA</t>
        </is>
      </c>
      <c r="B4" s="10" t="n">
        <v>15.7112907985032</v>
      </c>
      <c r="C4" s="10" t="n">
        <v>4508</v>
      </c>
      <c r="D4" s="10" t="n">
        <v>71301.49891965245</v>
      </c>
      <c r="E4" s="10" t="n">
        <v>48.04035771435956</v>
      </c>
      <c r="F4" s="10" t="n">
        <v>41.83748956114426</v>
      </c>
      <c r="G4" t="inlineStr">
        <is>
          <t>multiple x Nike TTM EBITDA - debt + cash, / diluted shares</t>
        </is>
      </c>
    </row>
    <row r="5">
      <c r="A5" t="inlineStr">
        <is>
          <t>Peer median P/E</t>
        </is>
      </c>
      <c r="B5" s="10" t="n">
        <v>14.531915025259</v>
      </c>
      <c r="C5" s="10" t="n">
        <v>3093</v>
      </c>
      <c r="D5" s="10" t="n">
        <v>44947.21317312609</v>
      </c>
      <c r="E5" s="10" t="n">
        <v>30.28379812230568</v>
      </c>
      <c r="F5" s="10" t="n">
        <v>-10.58813663328704</v>
      </c>
      <c r="G5" t="inlineStr">
        <is>
          <t>multiple x Nike TTM net income, / diluted shares</t>
        </is>
      </c>
    </row>
    <row r="6">
      <c r="A6" t="inlineStr">
        <is>
          <t>Peer min P/E</t>
        </is>
      </c>
      <c r="B6" s="10" t="n">
        <v>7.522215621268892</v>
      </c>
      <c r="C6" s="10" t="n">
        <v>3093</v>
      </c>
      <c r="D6" s="10" t="n">
        <v>23266.21291658469</v>
      </c>
      <c r="E6" s="10" t="n">
        <v>15.67592839009883</v>
      </c>
      <c r="F6" s="10" t="n">
        <v>-53.71736524919153</v>
      </c>
      <c r="G6" t="inlineStr">
        <is>
          <t>multiple x Nike TTM net income, / diluted shares</t>
        </is>
      </c>
    </row>
    <row r="7">
      <c r="A7" t="inlineStr">
        <is>
          <t>Peer max P/E</t>
        </is>
      </c>
      <c r="B7" s="10" t="n">
        <v>21.72038860700406</v>
      </c>
      <c r="C7" s="10" t="n">
        <v>3093</v>
      </c>
      <c r="D7" s="10" t="n">
        <v>67181.16196146356</v>
      </c>
      <c r="E7" s="10" t="n">
        <v>45.26422447208163</v>
      </c>
      <c r="F7" s="10" t="n">
        <v>33.64105247145448</v>
      </c>
      <c r="G7" t="inlineStr">
        <is>
          <t>multiple x Nike TTM net income, / diluted shares</t>
        </is>
      </c>
    </row>
    <row r="8">
      <c r="A8" t="inlineStr">
        <is>
          <t>Peer median EV/EBITDAR (leases as debt)</t>
        </is>
      </c>
      <c r="B8" s="10" t="n">
        <v>9.10892708886561</v>
      </c>
      <c r="C8" s="10" t="n">
        <v>5201</v>
      </c>
      <c r="D8" s="10" t="n">
        <v>44671.52978919003</v>
      </c>
      <c r="E8" s="10" t="n">
        <v>30.09805268103358</v>
      </c>
      <c r="F8" s="10" t="n">
        <v>-11.136543604861</v>
      </c>
      <c r="G8" t="inlineStr">
        <is>
          <t>multiple x Nike EBITDAR - debt - lease liabilities + cash, / shares</t>
        </is>
      </c>
    </row>
    <row r="9">
      <c r="A9" t="inlineStr">
        <is>
          <t>DCF base case (output/05_valuation.csv)</t>
        </is>
      </c>
      <c r="B9" s="10" t="n">
        <v>13.77945792090901</v>
      </c>
      <c r="C9" s="10" t="n">
        <v>4508</v>
      </c>
      <c r="D9" s="10" t="n">
        <v>62592.7963074578</v>
      </c>
      <c r="E9" s="10" t="n">
        <v>42.17275051034753</v>
      </c>
      <c r="F9" s="10" t="n">
        <v>24.51358284720262</v>
      </c>
      <c r="G9" t="inlineStr">
        <is>
          <t>EV/EBITDA the DCF value implies on Nike's TTM EBITDA</t>
        </is>
      </c>
    </row>
    <row r="10">
      <c r="A10" t="inlineStr">
        <is>
          <t>DCF base case, as P/E</t>
        </is>
      </c>
      <c r="B10" s="10" t="n">
        <v>20.23692088828251</v>
      </c>
      <c r="C10" s="10" t="n">
        <v>3093</v>
      </c>
      <c r="D10" s="10" t="n">
        <v>62592.7963074578</v>
      </c>
      <c r="E10" s="10" t="n">
        <v>42.17275051034753</v>
      </c>
      <c r="F10" s="10" t="n">
        <v>24.51358284720262</v>
      </c>
      <c r="G10" t="inlineStr">
        <is>
          <t>P/E the DCF value implies on Nike's TTM net income</t>
        </is>
      </c>
    </row>
    <row r="11">
      <c r="A11" t="inlineStr">
        <is>
          <t>Share price 2026-10-02</t>
        </is>
      </c>
      <c r="B11" s="10" t="n">
        <v>11.04588598047915</v>
      </c>
      <c r="C11" s="10" t="n">
        <v>4508</v>
      </c>
      <c r="D11" s="10" t="n">
        <v>50269.854</v>
      </c>
      <c r="E11" s="10" t="n">
        <v>33.87</v>
      </c>
      <c r="F11" s="10" t="n">
        <v>0</v>
      </c>
      <c r="G11" t="inlineStr">
        <is>
          <t>Nike's actual EV/EBITDA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8" t="inlineStr">
        <is>
          <t>How to read this workbook</t>
        </is>
      </c>
    </row>
    <row r="2">
      <c r="A2" s="11" t="inlineStr">
        <is>
          <t>EV / EBITDA: enterprise value (shares + debt - cash + non-controlling interests, leases excluded) divided by EBITDA over the last twelve months.</t>
        </is>
      </c>
    </row>
    <row r="3">
      <c r="A3" s="11" t="inlineStr">
        <is>
          <t>Non-controlling interests: adidas's EBITDA includes 100% of subsidiaries it only partly owns, so outsiders' stakes (book value) are added to EV.</t>
        </is>
      </c>
    </row>
    <row r="4">
      <c r="A4" s="11" t="inlineStr">
        <is>
          <t>Checks sheet: each factor the main table leaves out, switched on alone. Nike value from peers: peer multiples applied to Nike's profit.</t>
        </is>
      </c>
    </row>
    <row r="5">
      <c r="A5" s="11" t="inlineStr">
        <is>
          <t>P / E: market cap divided by net income attributable to shareholders over the last twelve months.</t>
        </is>
      </c>
    </row>
    <row r="6">
      <c r="A6" s="11" t="inlineStr">
        <is>
          <t>TTM = latest fiscal year + year to date - prior year to date, from each company's latest 10-Q / 6-K.</t>
        </is>
      </c>
    </row>
    <row r="7">
      <c r="A7" s="11" t="inlineStr">
        <is>
          <t>adidas (NON-SEC): TTM = Annual Report 2025 + Half Year Report 2026 - H1 2025; balance sheet at 2026-06-30. Its lease depreciation and lease interest are FY2025 amounts (the half-year report does not split them out).</t>
        </is>
      </c>
    </row>
    <row r="8">
      <c r="A8" s="11" t="inlineStr">
        <is>
          <t>IFRS lease adjustment (adidas, On): EBITDA = operating profit + D&amp;A - right-of-use depreciation - lease interest, so rent counts as an operating cost as it does under US GAAP. Operating margin is as reported.</t>
        </is>
      </c>
    </row>
    <row r="9">
      <c r="A9" s="11" t="inlineStr">
        <is>
          <t>adidas D&amp;A includes impairment losses (EUR 1,154m line of the cash flow statement).</t>
        </is>
      </c>
    </row>
    <row r="10">
      <c r="A10" s="11" t="inlineStr">
        <is>
          <t>On Holding: CHF figures converted to USD at 1.2041 (2026-10-02). Class B shares count as 1/10 of a class A share.</t>
        </is>
      </c>
    </row>
    <row r="11">
      <c r="A11" s="11" t="inlineStr">
        <is>
          <t>Under Armour: class A price (UAA) applied to all classes; class C (UA) closed 2.5% lower, so market cap is slightly high.</t>
        </is>
      </c>
    </row>
    <row r="12">
      <c r="A12" s="11" t="inlineStr">
        <is>
          <t>Under Armour's fiscal year runs April to March (since 2022); Deckers' also ends in March, Lululemon's in late January/early February.</t>
        </is>
      </c>
    </row>
    <row r="13">
      <c r="A13" s="11" t="inlineStr">
        <is>
          <t>Nike: operating income = gross profit - S&amp;A (Nike reports no operating income line); balance sheet and shares as in the DCF.</t>
        </is>
      </c>
    </row>
    <row r="14">
      <c r="A14" s="11" t="inlineStr">
        <is>
          <t>Sources: see Inputs sheet (form, accession number, filed date for every SEC number). Script: scripts/08_peer_multiples.py.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2026-10-04T23:03:17Z</dcterms:created>
  <dcterms:modified xmlns:dcterms="http://purl.org/dc/terms/" xmlns:xsi="http://www.w3.org/2001/XMLSchema-instance" xsi:type="dcterms:W3CDTF">2026-10-04T23:03:17Z</dcterms:modified>
</cp:coreProperties>
</file>